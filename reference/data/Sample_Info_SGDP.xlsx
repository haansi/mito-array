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16hw\Askimed Dropbox\Hansi\mtdna\benchmark\SGDP\"/>
    </mc:Choice>
  </mc:AlternateContent>
  <xr:revisionPtr revIDLastSave="0" documentId="13_ncr:1_{3434B193-7CC7-4AEF-AA20-FE1114A932B1}" xr6:coauthVersionLast="47" xr6:coauthVersionMax="47" xr10:uidLastSave="{00000000-0000-0000-0000-000000000000}"/>
  <bookViews>
    <workbookView xWindow="-108" yWindow="-108" windowWidth="23256" windowHeight="13896" activeTab="1" xr2:uid="{B77B73FB-A77C-4FD8-991B-66D8F76E45E3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2" i="1"/>
  <c r="R103" i="2"/>
  <c r="R17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" i="2"/>
</calcChain>
</file>

<file path=xl/sharedStrings.xml><?xml version="1.0" encoding="utf-8"?>
<sst xmlns="http://schemas.openxmlformats.org/spreadsheetml/2006/main" count="8576" uniqueCount="2063">
  <si>
    <t>#Sequencing_Panel</t>
  </si>
  <si>
    <t>Illumina_ID</t>
  </si>
  <si>
    <t>Sample_ID</t>
  </si>
  <si>
    <t>Sample_ID(Aliases)</t>
  </si>
  <si>
    <t>SGDP_ID</t>
  </si>
  <si>
    <t>Population_ID</t>
  </si>
  <si>
    <t>Region</t>
  </si>
  <si>
    <t>Country</t>
  </si>
  <si>
    <t>Town</t>
  </si>
  <si>
    <t>Contributor</t>
  </si>
  <si>
    <t>Gender</t>
  </si>
  <si>
    <t>Latitude</t>
  </si>
  <si>
    <t>Longitude</t>
  </si>
  <si>
    <t>DNA_Source</t>
  </si>
  <si>
    <t>Embargo</t>
  </si>
  <si>
    <t>SGDP-lite category: X=FullyPublic</t>
  </si>
  <si>
    <t>B</t>
  </si>
  <si>
    <t>SS6004478</t>
  </si>
  <si>
    <t>IHW9118</t>
  </si>
  <si>
    <t>B_Australian-3</t>
  </si>
  <si>
    <t>Australian</t>
  </si>
  <si>
    <t>Oceania</t>
  </si>
  <si>
    <t>Australia</t>
  </si>
  <si>
    <t>Cell_line_repository_sampling_location_unknown</t>
  </si>
  <si>
    <t>ECCAC</t>
  </si>
  <si>
    <t>U</t>
  </si>
  <si>
    <t>Genomic_from_cell_lines</t>
  </si>
  <si>
    <t>FullyPublic</t>
  </si>
  <si>
    <t>X</t>
  </si>
  <si>
    <t>SS6004477</t>
  </si>
  <si>
    <t>IHW9193</t>
  </si>
  <si>
    <t>B_Australian-4</t>
  </si>
  <si>
    <t>M</t>
  </si>
  <si>
    <t>LP6007069-DNA_A01</t>
  </si>
  <si>
    <t>AV-21</t>
  </si>
  <si>
    <t>B_Crete-1</t>
  </si>
  <si>
    <t>Crete</t>
  </si>
  <si>
    <t>WestEurasia</t>
  </si>
  <si>
    <t>Greece</t>
  </si>
  <si>
    <t>Preveliana</t>
  </si>
  <si>
    <t>LP6007068-DNA_A01</t>
  </si>
  <si>
    <t>TZ-11</t>
  </si>
  <si>
    <t>B_Crete-2</t>
  </si>
  <si>
    <t xml:space="preserve">Psychro </t>
  </si>
  <si>
    <t>SS6004467</t>
  </si>
  <si>
    <t>HGDP01308</t>
  </si>
  <si>
    <t>B_Dai-4</t>
  </si>
  <si>
    <t>Dai</t>
  </si>
  <si>
    <t>EastAsia</t>
  </si>
  <si>
    <t>China</t>
  </si>
  <si>
    <t>?</t>
  </si>
  <si>
    <t>Howard Cann</t>
  </si>
  <si>
    <t>SS6004480</t>
  </si>
  <si>
    <t>DNK07</t>
  </si>
  <si>
    <t>B_Dinka-3</t>
  </si>
  <si>
    <t>Dinka</t>
  </si>
  <si>
    <t>Africa</t>
  </si>
  <si>
    <t>Sudan</t>
  </si>
  <si>
    <t>Aweil</t>
  </si>
  <si>
    <t>Michael Hammer</t>
  </si>
  <si>
    <t>Genomic_from_saliva</t>
  </si>
  <si>
    <t>SS6004468</t>
  </si>
  <si>
    <t>HGDP00533</t>
  </si>
  <si>
    <t>B_French-3</t>
  </si>
  <si>
    <t>French</t>
  </si>
  <si>
    <t>France</t>
  </si>
  <si>
    <t>SS6004469</t>
  </si>
  <si>
    <t>HGDP00775</t>
  </si>
  <si>
    <t>B_Han-3</t>
  </si>
  <si>
    <t>Han</t>
  </si>
  <si>
    <t>SS6004473</t>
  </si>
  <si>
    <t>HGDP01036</t>
  </si>
  <si>
    <t>B_Ju_hoan_North-4</t>
  </si>
  <si>
    <t>Ju_hoan_North</t>
  </si>
  <si>
    <t>Namibia</t>
  </si>
  <si>
    <t>SS6004476</t>
  </si>
  <si>
    <t>HGDP01015</t>
  </si>
  <si>
    <t>B_Karitiana-3</t>
  </si>
  <si>
    <t>Karitiana</t>
  </si>
  <si>
    <t>America</t>
  </si>
  <si>
    <t>Brazil</t>
  </si>
  <si>
    <t>SS6004470</t>
  </si>
  <si>
    <t>HGDP01286</t>
  </si>
  <si>
    <t>B_Mandenka-3</t>
  </si>
  <si>
    <t>Mandenka</t>
  </si>
  <si>
    <t>Senegal</t>
  </si>
  <si>
    <t>SS6004471</t>
  </si>
  <si>
    <t>HGDP00982</t>
  </si>
  <si>
    <t>B_Mbuti-4</t>
  </si>
  <si>
    <t>Mbuti</t>
  </si>
  <si>
    <t>Congo</t>
  </si>
  <si>
    <t>SS6004479</t>
  </si>
  <si>
    <t>mixe0007</t>
  </si>
  <si>
    <t>B_Mixe-1</t>
  </si>
  <si>
    <t>Mixe</t>
  </si>
  <si>
    <t>Mexico</t>
  </si>
  <si>
    <t>Tmazulapan</t>
  </si>
  <si>
    <t>SS6004472</t>
  </si>
  <si>
    <t>HGDP00546</t>
  </si>
  <si>
    <t>B_Papuan-15</t>
  </si>
  <si>
    <t>Papuan</t>
  </si>
  <si>
    <t>PapuaNewGuinea</t>
  </si>
  <si>
    <t>SS6004474</t>
  </si>
  <si>
    <t>HGDP01076</t>
  </si>
  <si>
    <t>B_Sardinian-3</t>
  </si>
  <si>
    <t>Sardinian</t>
  </si>
  <si>
    <t>Italy</t>
  </si>
  <si>
    <t>SS6004475</t>
  </si>
  <si>
    <t>HGDP00936</t>
  </si>
  <si>
    <t>B_Yoruba-3</t>
  </si>
  <si>
    <t>Yoruba</t>
  </si>
  <si>
    <t>Nigeria</t>
  </si>
  <si>
    <t>C</t>
  </si>
  <si>
    <t>LP6005677-DNA_B01</t>
  </si>
  <si>
    <t>ALB212</t>
  </si>
  <si>
    <t>S_Albanian-1</t>
  </si>
  <si>
    <t>Albanian</t>
  </si>
  <si>
    <t>Albania</t>
  </si>
  <si>
    <t>Tirana</t>
  </si>
  <si>
    <t>David Comas</t>
  </si>
  <si>
    <t>F</t>
  </si>
  <si>
    <t>Genomic_from_blood</t>
  </si>
  <si>
    <t>LP6005442-DNA_F02</t>
  </si>
  <si>
    <t>altai363p</t>
  </si>
  <si>
    <t>S_Altaian-1</t>
  </si>
  <si>
    <t>Altaian</t>
  </si>
  <si>
    <t>CentralAsiaSiberia</t>
  </si>
  <si>
    <t>Russia</t>
  </si>
  <si>
    <t>Tenga</t>
  </si>
  <si>
    <t>LP6005442-DNA_E07</t>
  </si>
  <si>
    <t>NA13604</t>
  </si>
  <si>
    <t>S_Atayal-1</t>
  </si>
  <si>
    <t>Atayal</t>
  </si>
  <si>
    <t>Taiwan</t>
  </si>
  <si>
    <t>Coriell</t>
  </si>
  <si>
    <t>LP6005519-DNA_D01</t>
  </si>
  <si>
    <t>TGBS21</t>
  </si>
  <si>
    <t>S_Chane-1</t>
  </si>
  <si>
    <t>Chane</t>
  </si>
  <si>
    <t>Argentina</t>
  </si>
  <si>
    <t>Salta (province)</t>
  </si>
  <si>
    <t>LP6005442-DNA_D03</t>
  </si>
  <si>
    <t>ch113</t>
  </si>
  <si>
    <t>S_Chechen-1</t>
  </si>
  <si>
    <t>Chechen</t>
  </si>
  <si>
    <t>Grozny_in_Chechen_Republic</t>
  </si>
  <si>
    <t>Mait Metspalu / Elza Khusnutdinova / Rita Khusainova</t>
  </si>
  <si>
    <t>LP6005443-DNA_C03</t>
  </si>
  <si>
    <t>Sir19</t>
  </si>
  <si>
    <t>S_Chukchi-1</t>
  </si>
  <si>
    <t>Chukchi</t>
  </si>
  <si>
    <t>Sireniki</t>
  </si>
  <si>
    <t>LP6005443-DNA_H05</t>
  </si>
  <si>
    <t>NA15728</t>
  </si>
  <si>
    <t>S_Czech-2</t>
  </si>
  <si>
    <t>Czech</t>
  </si>
  <si>
    <t>Czechoslovia(pre1989)</t>
  </si>
  <si>
    <t>LP6005443-DNA_D03</t>
  </si>
  <si>
    <t>Esk29</t>
  </si>
  <si>
    <t>S_Eskimo_Chaplin-1</t>
  </si>
  <si>
    <t>Eskimo_Chaplin</t>
  </si>
  <si>
    <t>New Chaplino</t>
  </si>
  <si>
    <t>LP6005592-DNA_H03</t>
  </si>
  <si>
    <t>NA17385</t>
  </si>
  <si>
    <t>S_Hawaiian-1</t>
  </si>
  <si>
    <t>Hawaiian</t>
  </si>
  <si>
    <t>USA</t>
  </si>
  <si>
    <t>LP6005443-DNA_D04</t>
  </si>
  <si>
    <t>Kor82</t>
  </si>
  <si>
    <t>S_Itelman-1</t>
  </si>
  <si>
    <t>Itelman</t>
  </si>
  <si>
    <t>Kovran</t>
  </si>
  <si>
    <t>LP6005519-DNA_E05</t>
  </si>
  <si>
    <t>KD4</t>
  </si>
  <si>
    <t>S_Khonda_Dora-1</t>
  </si>
  <si>
    <t>Khonda_Dora</t>
  </si>
  <si>
    <t>SouthAsia</t>
  </si>
  <si>
    <t>India</t>
  </si>
  <si>
    <t>Lynn Jorde / Mike Bamshad / Scott Watkins</t>
  </si>
  <si>
    <t>LP6005592-DNA_B02</t>
  </si>
  <si>
    <t>NA17386</t>
  </si>
  <si>
    <t>S_Maori-1</t>
  </si>
  <si>
    <t>Maori</t>
  </si>
  <si>
    <t>New Zealand</t>
  </si>
  <si>
    <t>LP6005592-DNA_B01</t>
  </si>
  <si>
    <t>NOR111</t>
  </si>
  <si>
    <t>S_Norwegian-1</t>
  </si>
  <si>
    <t>Norwegian</t>
  </si>
  <si>
    <t>Norway</t>
  </si>
  <si>
    <t>Bergen</t>
  </si>
  <si>
    <t>Cristian Capelli / Tor Hervig</t>
  </si>
  <si>
    <t>LP6005592-DNA_E02</t>
  </si>
  <si>
    <t>ND15865</t>
  </si>
  <si>
    <t>S_Polish-1</t>
  </si>
  <si>
    <t>Polish</t>
  </si>
  <si>
    <t>Poland</t>
  </si>
  <si>
    <t>LP6005592-DNA_D04</t>
  </si>
  <si>
    <t>Sam02</t>
  </si>
  <si>
    <t>S_Samaritan-1</t>
  </si>
  <si>
    <t>Samaritan</t>
  </si>
  <si>
    <t>Israel</t>
  </si>
  <si>
    <t>Mount Gerizim</t>
  </si>
  <si>
    <t>Mait Metspalu / Doron Behar</t>
  </si>
  <si>
    <t>LP6005442-DNA_D09</t>
  </si>
  <si>
    <t>Ayodo_81S</t>
  </si>
  <si>
    <t>S_Somali-1</t>
  </si>
  <si>
    <t>Somali</t>
  </si>
  <si>
    <t>Kenya</t>
  </si>
  <si>
    <t>Garissa</t>
  </si>
  <si>
    <t>Geoge Ayodo</t>
  </si>
  <si>
    <t>LP6005442-DNA_G02</t>
  </si>
  <si>
    <t>armenia293</t>
  </si>
  <si>
    <t>S_Armenian-1</t>
  </si>
  <si>
    <t>Armenian</t>
  </si>
  <si>
    <t>Armenia</t>
  </si>
  <si>
    <t>Yerevan but all 4 ancestorscome from Nagorno Kharabakh</t>
  </si>
  <si>
    <t>Mait Metspalu/ Levon Yepiskoposyan / Hovhannes Sahakyan</t>
  </si>
  <si>
    <t>LP6005519-DNA_F03</t>
  </si>
  <si>
    <t>Armenian222</t>
  </si>
  <si>
    <t>S_Armenian-2</t>
  </si>
  <si>
    <t>born in Akhuzyan but all 4 ancestors come from Kars - now Turkey</t>
  </si>
  <si>
    <t>LP6005441-DNA_D01</t>
  </si>
  <si>
    <t>HGDP00090</t>
  </si>
  <si>
    <t>S_Balochi-1</t>
  </si>
  <si>
    <t>Balochi</t>
  </si>
  <si>
    <t>Pakistan</t>
  </si>
  <si>
    <t>LP6005441-DNA_C01</t>
  </si>
  <si>
    <t>HGDP00058</t>
  </si>
  <si>
    <t>S_Balochi-2</t>
  </si>
  <si>
    <t>LP6005441-DNA_A06</t>
  </si>
  <si>
    <t>HGDP01153</t>
  </si>
  <si>
    <t>S_Bergamo-1</t>
  </si>
  <si>
    <t>Bergamo</t>
  </si>
  <si>
    <t>Italy(Bergamo)</t>
  </si>
  <si>
    <t>LP6005441-DNA_B06</t>
  </si>
  <si>
    <t>HGDP01172</t>
  </si>
  <si>
    <t>S_Bergamo-2</t>
  </si>
  <si>
    <t>LP6005443-DNA_C01</t>
  </si>
  <si>
    <t>HGDP01217</t>
  </si>
  <si>
    <t>S_Daur-1</t>
  </si>
  <si>
    <t>Daur</t>
  </si>
  <si>
    <t>LP6005441-DNA_F04</t>
  </si>
  <si>
    <t>HGDP01215</t>
  </si>
  <si>
    <t>S_Daur-2</t>
  </si>
  <si>
    <t>LP6005443-DNA_F06</t>
  </si>
  <si>
    <t>NA21490</t>
  </si>
  <si>
    <t>S_Masai-1</t>
  </si>
  <si>
    <t>Masai</t>
  </si>
  <si>
    <t>Kinyawa</t>
  </si>
  <si>
    <t>LP6005443-DNA_E06</t>
  </si>
  <si>
    <t>NA21581</t>
  </si>
  <si>
    <t>S_Masai-2</t>
  </si>
  <si>
    <t>LP6005441-DNA_G08</t>
  </si>
  <si>
    <t>HGDP01253</t>
  </si>
  <si>
    <t>S_Mozabite-1</t>
  </si>
  <si>
    <t>Mozabite</t>
  </si>
  <si>
    <t>Algeria</t>
  </si>
  <si>
    <t>LP6005441-DNA_H08</t>
  </si>
  <si>
    <t>HGDP01274</t>
  </si>
  <si>
    <t>S_Mozabite-2</t>
  </si>
  <si>
    <t>LP6005441-DNA_E10</t>
  </si>
  <si>
    <t>HGDP01047</t>
  </si>
  <si>
    <t>S_Pima-1</t>
  </si>
  <si>
    <t>Pima</t>
  </si>
  <si>
    <t>LP6005441-DNA_F10</t>
  </si>
  <si>
    <t>HGDP01044</t>
  </si>
  <si>
    <t>S_Pima-2</t>
  </si>
  <si>
    <t>LP6005441-DNA_G10</t>
  </si>
  <si>
    <t>HGDP00887</t>
  </si>
  <si>
    <t>S_Russian-1</t>
  </si>
  <si>
    <t>Russian</t>
  </si>
  <si>
    <t>Vologda Administrative Region</t>
  </si>
  <si>
    <t>LP6005441-DNA_H10</t>
  </si>
  <si>
    <t>HGDP00903</t>
  </si>
  <si>
    <t>S_Russian-2</t>
  </si>
  <si>
    <t>LP6005441-DNA_C06</t>
  </si>
  <si>
    <t>HGDP00749</t>
  </si>
  <si>
    <t>S_Japanese-1</t>
  </si>
  <si>
    <t>Japanese</t>
  </si>
  <si>
    <t>Japan</t>
  </si>
  <si>
    <t>LP6005442-DNA_F04</t>
  </si>
  <si>
    <t>Jordan603</t>
  </si>
  <si>
    <t>S_Jordanian-2</t>
  </si>
  <si>
    <t>Jordanian</t>
  </si>
  <si>
    <t>Jordan</t>
  </si>
  <si>
    <t>migrants_collected_in_Kuwait</t>
  </si>
  <si>
    <t>Mait Metspalu / Ene Metspalu / Richard Villems / J ri Parik</t>
  </si>
  <si>
    <t>LP6005443-DNA_G08</t>
  </si>
  <si>
    <t>HGDP00991</t>
  </si>
  <si>
    <t>S_Ju_hoan_North-1</t>
  </si>
  <si>
    <t>LP6005441-DNA_H09</t>
  </si>
  <si>
    <t>HGDP00737</t>
  </si>
  <si>
    <t>S_Palestinian-3</t>
  </si>
  <si>
    <t>Palestinian</t>
  </si>
  <si>
    <t>Israel(Central)</t>
  </si>
  <si>
    <t>LP6005592-DNA_A04</t>
  </si>
  <si>
    <t>HG02494</t>
  </si>
  <si>
    <t>S_Punjabi-4</t>
  </si>
  <si>
    <t>Punjabi</t>
  </si>
  <si>
    <t>Lahore</t>
  </si>
  <si>
    <t>1KG</t>
  </si>
  <si>
    <t>LP6005441-DNA_A10</t>
  </si>
  <si>
    <t>HGDP00541</t>
  </si>
  <si>
    <t>S_Papuan-3</t>
  </si>
  <si>
    <t>NewGuinea</t>
  </si>
  <si>
    <t>LP6005442-DNA_C02</t>
  </si>
  <si>
    <t>abh107</t>
  </si>
  <si>
    <t>S_Abkhasian-1</t>
  </si>
  <si>
    <t>Abkhasian</t>
  </si>
  <si>
    <t>Abkhazia</t>
  </si>
  <si>
    <t>Sukhum</t>
  </si>
  <si>
    <t>LP6005442-DNA_D02</t>
  </si>
  <si>
    <t>abh100</t>
  </si>
  <si>
    <t>S_Abkhasian-2</t>
  </si>
  <si>
    <t>LP6005441-DNA_A01</t>
  </si>
  <si>
    <t>HGDP01402</t>
  </si>
  <si>
    <t>S_Adygei-1</t>
  </si>
  <si>
    <t>Adygei</t>
  </si>
  <si>
    <t>Russia(Caucasus)</t>
  </si>
  <si>
    <t>Krasnodar</t>
  </si>
  <si>
    <t>LP6005441-DNA_B01</t>
  </si>
  <si>
    <t>HGDP01401</t>
  </si>
  <si>
    <t>S_Adygei-2</t>
  </si>
  <si>
    <t>LP6005443-DNA_A03</t>
  </si>
  <si>
    <t>Ale22</t>
  </si>
  <si>
    <t>S_Aleut-1</t>
  </si>
  <si>
    <t>Aleut</t>
  </si>
  <si>
    <t>Nikolskoye</t>
  </si>
  <si>
    <t>LP6005443-DNA_H02</t>
  </si>
  <si>
    <t>Ale20</t>
  </si>
  <si>
    <t>S_Aleut-2</t>
  </si>
  <si>
    <t>LP6005442-DNA_C07</t>
  </si>
  <si>
    <t>NA13607</t>
  </si>
  <si>
    <t>S_Ami-1</t>
  </si>
  <si>
    <t>Ami</t>
  </si>
  <si>
    <t>LP6005443-DNA_G05</t>
  </si>
  <si>
    <t>NA13616</t>
  </si>
  <si>
    <t>S_Ami-2</t>
  </si>
  <si>
    <t>LP6005443-DNA_E02</t>
  </si>
  <si>
    <t>HGDP01028</t>
  </si>
  <si>
    <t>S_BantuHerero-1</t>
  </si>
  <si>
    <t>BantuHerero</t>
  </si>
  <si>
    <t>BotswanaOrNamibia</t>
  </si>
  <si>
    <t>LP6005441-DNA_F01</t>
  </si>
  <si>
    <t>HGDP01035</t>
  </si>
  <si>
    <t>S_BantuHerero-2</t>
  </si>
  <si>
    <t>LP6005443-DNA_A01</t>
  </si>
  <si>
    <t>HGDP01417</t>
  </si>
  <si>
    <t>S_BantuKenya-1</t>
  </si>
  <si>
    <t>BantuKenya</t>
  </si>
  <si>
    <t>LP6005441-DNA_B02</t>
  </si>
  <si>
    <t>HGDP01414</t>
  </si>
  <si>
    <t>S_BantuKenya-2</t>
  </si>
  <si>
    <t>LP6005443-DNA_G02</t>
  </si>
  <si>
    <t>HGDP01030</t>
  </si>
  <si>
    <t>S_BantuTswana-1</t>
  </si>
  <si>
    <t>BantuTswana</t>
  </si>
  <si>
    <t>LP6005443-DNA_F02</t>
  </si>
  <si>
    <t>HGDP01034</t>
  </si>
  <si>
    <t>S_BantuTswana-2</t>
  </si>
  <si>
    <t>LP6005441-DNA_C02</t>
  </si>
  <si>
    <t>HGDP01364</t>
  </si>
  <si>
    <t>S_Basque-1</t>
  </si>
  <si>
    <t>Basque</t>
  </si>
  <si>
    <t>LP6005441-DNA_D02</t>
  </si>
  <si>
    <t>HGDP01365</t>
  </si>
  <si>
    <t>S_Basque-2</t>
  </si>
  <si>
    <t>LP6005441-DNA_E02</t>
  </si>
  <si>
    <t>HGDP00616</t>
  </si>
  <si>
    <t>S_BedouinB-1</t>
  </si>
  <si>
    <t>BedouinB</t>
  </si>
  <si>
    <t>Israel(Negev)</t>
  </si>
  <si>
    <t>LP6005441-DNA_F02</t>
  </si>
  <si>
    <t>HGDP00650</t>
  </si>
  <si>
    <t>S_BedouinB-2</t>
  </si>
  <si>
    <t>LP6005442-DNA_G09</t>
  </si>
  <si>
    <t>HG03006</t>
  </si>
  <si>
    <t>S_Bengali-1</t>
  </si>
  <si>
    <t>Bengali</t>
  </si>
  <si>
    <t>Bangladesh</t>
  </si>
  <si>
    <t>LP6005442-DNA_H09</t>
  </si>
  <si>
    <t>HG03007</t>
  </si>
  <si>
    <t>S_Bengali-2</t>
  </si>
  <si>
    <t>LP6005441-DNA_G02</t>
  </si>
  <si>
    <t>HGDP00457</t>
  </si>
  <si>
    <t>S_Biaka-1</t>
  </si>
  <si>
    <t>Biaka</t>
  </si>
  <si>
    <t>Central African Republic</t>
  </si>
  <si>
    <t>LP6005441-DNA_H02</t>
  </si>
  <si>
    <t>HGDP00461</t>
  </si>
  <si>
    <t>S_Biaka-2</t>
  </si>
  <si>
    <t>LP6005441-DNA_B03</t>
  </si>
  <si>
    <t>HGDP00660</t>
  </si>
  <si>
    <t>S_Bougainville-1</t>
  </si>
  <si>
    <t>Bougainville</t>
  </si>
  <si>
    <t>Bougainville_Island</t>
  </si>
  <si>
    <t>LP6005441-DNA_A03</t>
  </si>
  <si>
    <t>HGDP00656</t>
  </si>
  <si>
    <t>S_Bougainville-2</t>
  </si>
  <si>
    <t>LP6005519-DNA_G03</t>
  </si>
  <si>
    <t>B11</t>
  </si>
  <si>
    <t>S_Brahmin-1</t>
  </si>
  <si>
    <t>Brahmin</t>
  </si>
  <si>
    <t>Visakhapatnam</t>
  </si>
  <si>
    <t>LP6005519-DNA_H03</t>
  </si>
  <si>
    <t>B17</t>
  </si>
  <si>
    <t>S_Brahmin-2</t>
  </si>
  <si>
    <t>LP6005441-DNA_D03</t>
  </si>
  <si>
    <t>HGDP00027</t>
  </si>
  <si>
    <t>S_Brahui-1</t>
  </si>
  <si>
    <t>Brahui</t>
  </si>
  <si>
    <t>LP6005441-DNA_C03</t>
  </si>
  <si>
    <t>HGDP00019</t>
  </si>
  <si>
    <t>S_Brahui-2</t>
  </si>
  <si>
    <t>LP6005442-DNA_A03</t>
  </si>
  <si>
    <t>BulgarianB4</t>
  </si>
  <si>
    <t>S_Bulgarian-1</t>
  </si>
  <si>
    <t>Bulgarian</t>
  </si>
  <si>
    <t>Bulgaria</t>
  </si>
  <si>
    <t>Plovdiv</t>
  </si>
  <si>
    <t>Mait Metspalu / Draga Toncheva / Sena Karachanak-Yankova</t>
  </si>
  <si>
    <t>LP6005442-DNA_B03</t>
  </si>
  <si>
    <t>BulgarianC1</t>
  </si>
  <si>
    <t>S_Bulgarian-2</t>
  </si>
  <si>
    <t>LP6005519-DNA_B06</t>
  </si>
  <si>
    <t>Bu16</t>
  </si>
  <si>
    <t>S_Burmese-1</t>
  </si>
  <si>
    <t>Burmese</t>
  </si>
  <si>
    <t>Myanmar</t>
  </si>
  <si>
    <t>Mandalay (sampled in Singapore)</t>
  </si>
  <si>
    <t>Toomas Kivisild / Joseph Wee Tien Seng</t>
  </si>
  <si>
    <t>LP6005519-DNA_A06</t>
  </si>
  <si>
    <t>Bu5</t>
  </si>
  <si>
    <t>S_Burmese-2</t>
  </si>
  <si>
    <t>Yangon (sampled in Singapore)</t>
  </si>
  <si>
    <t>LP6005441-DNA_E03</t>
  </si>
  <si>
    <t>HGDP00428</t>
  </si>
  <si>
    <t>S_Burusho-1</t>
  </si>
  <si>
    <t>Burusho</t>
  </si>
  <si>
    <t>LP6005441-DNA_F03</t>
  </si>
  <si>
    <t>HGDP00338</t>
  </si>
  <si>
    <t>S_Burusho-2</t>
  </si>
  <si>
    <t>LP6005441-DNA_G03</t>
  </si>
  <si>
    <t>HGDP00717</t>
  </si>
  <si>
    <t>S_Cambodian-1</t>
  </si>
  <si>
    <t>Cambodian</t>
  </si>
  <si>
    <t>Cambodia</t>
  </si>
  <si>
    <t>LP6005441-DNA_H03</t>
  </si>
  <si>
    <t>HGDP00713</t>
  </si>
  <si>
    <t>S_Cambodian-2</t>
  </si>
  <si>
    <t>LP6005443-DNA_H08</t>
  </si>
  <si>
    <t>DNK05</t>
  </si>
  <si>
    <t>DNK5</t>
  </si>
  <si>
    <t>S_Dinka-1</t>
  </si>
  <si>
    <t>LP6005443-DNA_B09</t>
  </si>
  <si>
    <t>DNK11</t>
  </si>
  <si>
    <t>S_Dinka-2</t>
  </si>
  <si>
    <t>LP6005443-DNA_D01</t>
  </si>
  <si>
    <t>HGDP00569</t>
  </si>
  <si>
    <t>S_Druze-1</t>
  </si>
  <si>
    <t>Druze</t>
  </si>
  <si>
    <t>Israel(Carmel)</t>
  </si>
  <si>
    <t>LP6005441-DNA_G04</t>
  </si>
  <si>
    <t>HGDP00597</t>
  </si>
  <si>
    <t>S_Druze-2</t>
  </si>
  <si>
    <t>LP6005519-DNA_F06</t>
  </si>
  <si>
    <t>Dus22</t>
  </si>
  <si>
    <t>S_Dusun-1</t>
  </si>
  <si>
    <t>Dusun</t>
  </si>
  <si>
    <t>Brunei</t>
  </si>
  <si>
    <t>Tutong District</t>
  </si>
  <si>
    <t>Toomas Kivisild / M. Syafiq Abdullah</t>
  </si>
  <si>
    <t>LP6005519-DNA_E06</t>
  </si>
  <si>
    <t>Dus16</t>
  </si>
  <si>
    <t>S_Dusun-2</t>
  </si>
  <si>
    <t>Lamunin</t>
  </si>
  <si>
    <t>LP6005442-DNA_E10</t>
  </si>
  <si>
    <t>HG00126</t>
  </si>
  <si>
    <t>S_English-1</t>
  </si>
  <si>
    <t>English</t>
  </si>
  <si>
    <t>England</t>
  </si>
  <si>
    <t>Kent</t>
  </si>
  <si>
    <t>LP6005442-DNA_F10</t>
  </si>
  <si>
    <t>HG00128</t>
  </si>
  <si>
    <t>S_English-2</t>
  </si>
  <si>
    <t>LP6005442-DNA_A10</t>
  </si>
  <si>
    <t>HG03100</t>
  </si>
  <si>
    <t>S_Esan-1</t>
  </si>
  <si>
    <t>Esan</t>
  </si>
  <si>
    <t>LP6005442-DNA_B10</t>
  </si>
  <si>
    <t>HG02943</t>
  </si>
  <si>
    <t>S_Esan-2</t>
  </si>
  <si>
    <t>LP6005443-DNA_F03</t>
  </si>
  <si>
    <t>Nesk_22</t>
  </si>
  <si>
    <t>S_Eskimo_Naukan-1</t>
  </si>
  <si>
    <t>Eskimo_Naukan</t>
  </si>
  <si>
    <t>Naukan</t>
  </si>
  <si>
    <t>LP6005443-DNA_G03</t>
  </si>
  <si>
    <t>Nesk_25</t>
  </si>
  <si>
    <t>S_Eskimo_Naukan-2</t>
  </si>
  <si>
    <t>Big Diomide Island</t>
  </si>
  <si>
    <t>LP6005443-DNA_B03</t>
  </si>
  <si>
    <t>Sir26</t>
  </si>
  <si>
    <t>S_Eskimo_Sireniki-1</t>
  </si>
  <si>
    <t>Eskimo_Sireniki</t>
  </si>
  <si>
    <t>LP6005443-DNA_H03</t>
  </si>
  <si>
    <t>Sir40</t>
  </si>
  <si>
    <t>S_Eskimo_Sireniki-2</t>
  </si>
  <si>
    <t>LP6005442-DNA_H03</t>
  </si>
  <si>
    <t>Est375</t>
  </si>
  <si>
    <t>S_Estonian-1</t>
  </si>
  <si>
    <t>Estonian</t>
  </si>
  <si>
    <t>Estonia</t>
  </si>
  <si>
    <t>Parnu</t>
  </si>
  <si>
    <t>LP6005442-DNA_G03</t>
  </si>
  <si>
    <t>Est400</t>
  </si>
  <si>
    <t>S_Estonian-2</t>
  </si>
  <si>
    <t>Avinurme</t>
  </si>
  <si>
    <t>LP6005441-DNA_A05</t>
  </si>
  <si>
    <t>HGDP00530</t>
  </si>
  <si>
    <t>S_French-1</t>
  </si>
  <si>
    <t>LP6005441-DNA_B05</t>
  </si>
  <si>
    <t>HGDP00526</t>
  </si>
  <si>
    <t>S_French-2</t>
  </si>
  <si>
    <t>LP6005442-DNA_G10</t>
  </si>
  <si>
    <t>HG02464</t>
  </si>
  <si>
    <t>S_Gambian-1</t>
  </si>
  <si>
    <t>Gambian</t>
  </si>
  <si>
    <t>Gambia</t>
  </si>
  <si>
    <t>Western District</t>
  </si>
  <si>
    <t>LP6005442-DNA_H10</t>
  </si>
  <si>
    <t>HG02574</t>
  </si>
  <si>
    <t>S_Gambian-2</t>
  </si>
  <si>
    <t>LP6005442-DNA_B04</t>
  </si>
  <si>
    <t>mg27</t>
  </si>
  <si>
    <t>S_Georgian-1</t>
  </si>
  <si>
    <t>Georgian</t>
  </si>
  <si>
    <t>Georgia</t>
  </si>
  <si>
    <t>Zugdidi_in_Megrelia</t>
  </si>
  <si>
    <t>LP6005442-DNA_A04</t>
  </si>
  <si>
    <t>mg31</t>
  </si>
  <si>
    <t>S_Georgian-2</t>
  </si>
  <si>
    <t>LP6005442-DNA_G07</t>
  </si>
  <si>
    <t>NA17377</t>
  </si>
  <si>
    <t>S_Greek-1</t>
  </si>
  <si>
    <t>Greek</t>
  </si>
  <si>
    <t>LP6005443-DNA_A06</t>
  </si>
  <si>
    <t>NA17374</t>
  </si>
  <si>
    <t>S_Greek-2</t>
  </si>
  <si>
    <t>LP6005441-DNA_D05</t>
  </si>
  <si>
    <t>HGDP00783</t>
  </si>
  <si>
    <t>S_Han-1</t>
  </si>
  <si>
    <t>LP6005441-DNA_C05</t>
  </si>
  <si>
    <t>HGDP00785</t>
  </si>
  <si>
    <t>S_Han-2</t>
  </si>
  <si>
    <t>LP6005441-DNA_F05</t>
  </si>
  <si>
    <t>HGDP00124</t>
  </si>
  <si>
    <t>S_Hazara-1</t>
  </si>
  <si>
    <t>Hazara</t>
  </si>
  <si>
    <t>LP6005441-DNA_E05</t>
  </si>
  <si>
    <t>HGDP00125</t>
  </si>
  <si>
    <t>S_Hazara-2</t>
  </si>
  <si>
    <t>LP6005441-DNA_G05</t>
  </si>
  <si>
    <t>HGDP01240</t>
  </si>
  <si>
    <t>S_Hezhen-1</t>
  </si>
  <si>
    <t>Hezhen</t>
  </si>
  <si>
    <t>LP6005441-DNA_H05</t>
  </si>
  <si>
    <t>HGDP01242</t>
  </si>
  <si>
    <t>S_Hezhen-2</t>
  </si>
  <si>
    <t>LP6005442-DNA_B08</t>
  </si>
  <si>
    <t>NA15203</t>
  </si>
  <si>
    <t>S_Hungarian-1</t>
  </si>
  <si>
    <t>Hungarian</t>
  </si>
  <si>
    <t>Hungary</t>
  </si>
  <si>
    <t>LP6005442-DNA_A08</t>
  </si>
  <si>
    <t>NA15202</t>
  </si>
  <si>
    <t>S_Hungarian-2</t>
  </si>
  <si>
    <t>LP6005442-DNA_D08</t>
  </si>
  <si>
    <t>NA15761</t>
  </si>
  <si>
    <t>S_Icelandic-1</t>
  </si>
  <si>
    <t>Icelandic</t>
  </si>
  <si>
    <t>Iceland</t>
  </si>
  <si>
    <t>LP6005443-DNA_B06</t>
  </si>
  <si>
    <t>NA15763</t>
  </si>
  <si>
    <t>S_Icelandic-2</t>
  </si>
  <si>
    <t>LP6005519-DNA_C06</t>
  </si>
  <si>
    <t>Igor20</t>
  </si>
  <si>
    <t>S_Igorot-1</t>
  </si>
  <si>
    <t>Igorot</t>
  </si>
  <si>
    <t>Philippines</t>
  </si>
  <si>
    <t>Mountain Province</t>
  </si>
  <si>
    <t>LP6005519-DNA_D06</t>
  </si>
  <si>
    <t>Igor21</t>
  </si>
  <si>
    <t>S_Igorot-2</t>
  </si>
  <si>
    <t>LP6005442-DNA_C04</t>
  </si>
  <si>
    <t>iran17</t>
  </si>
  <si>
    <t>S_Iranian-1</t>
  </si>
  <si>
    <t>Iranian</t>
  </si>
  <si>
    <t>Iran</t>
  </si>
  <si>
    <t>LP6005443-DNA_B10</t>
  </si>
  <si>
    <t>iran11</t>
  </si>
  <si>
    <t>S_Iranian-2</t>
  </si>
  <si>
    <t>LP6005592-DNA_F01</t>
  </si>
  <si>
    <t>IraqiJew1771</t>
  </si>
  <si>
    <t>S_Iraqi_Jew-1</t>
  </si>
  <si>
    <t>Iraqi_Jew</t>
  </si>
  <si>
    <t>Iraq</t>
  </si>
  <si>
    <t>Cell_line_repository</t>
  </si>
  <si>
    <t>Tel-Aviv University</t>
  </si>
  <si>
    <t>LP6005592-DNA_E01</t>
  </si>
  <si>
    <t>IraqiJew4291</t>
  </si>
  <si>
    <t>S_Iraqi_Jew-2</t>
  </si>
  <si>
    <t>LP6005519-DNA_C05</t>
  </si>
  <si>
    <t>I1</t>
  </si>
  <si>
    <t>S_Irula-1</t>
  </si>
  <si>
    <t>Irula</t>
  </si>
  <si>
    <t>LP6005519-DNA_D05</t>
  </si>
  <si>
    <t>I3</t>
  </si>
  <si>
    <t>S_Irula-2</t>
  </si>
  <si>
    <t>LP6005441-DNA_E06</t>
  </si>
  <si>
    <t>HGDP00328</t>
  </si>
  <si>
    <t>S_Kalash-1</t>
  </si>
  <si>
    <t>Kalash</t>
  </si>
  <si>
    <t>LP6005441-DNA_F06</t>
  </si>
  <si>
    <t>HGDP00286</t>
  </si>
  <si>
    <t>S_Kalash-2</t>
  </si>
  <si>
    <t>LP6005519-DNA_A04</t>
  </si>
  <si>
    <t>K1</t>
  </si>
  <si>
    <t>S_Kapu-1</t>
  </si>
  <si>
    <t>Kapu</t>
  </si>
  <si>
    <t>LP6005519-DNA_B04</t>
  </si>
  <si>
    <t>K4</t>
  </si>
  <si>
    <t>S_Kapu-2</t>
  </si>
  <si>
    <t>LP6005441-DNA_G06</t>
  </si>
  <si>
    <t>HGDP01012</t>
  </si>
  <si>
    <t>S_Karitiana-1</t>
  </si>
  <si>
    <t>LP6005441-DNA_H06</t>
  </si>
  <si>
    <t>HGDP01018</t>
  </si>
  <si>
    <t>S_Karitiana-2</t>
  </si>
  <si>
    <t>LP6005677-DNA_D03</t>
  </si>
  <si>
    <t>SA0342</t>
  </si>
  <si>
    <t>S_Khomani_San-1</t>
  </si>
  <si>
    <t>Khomani_San</t>
  </si>
  <si>
    <t>SouthAfrica</t>
  </si>
  <si>
    <t>Andriesvale Northern Cape</t>
  </si>
  <si>
    <t>LP6005592-DNA_C05</t>
  </si>
  <si>
    <t>SA0722</t>
  </si>
  <si>
    <t>S_Khomani_San-2</t>
  </si>
  <si>
    <t>Andriesvale</t>
  </si>
  <si>
    <t>LP6005442-DNA_D11</t>
  </si>
  <si>
    <t>HG01600</t>
  </si>
  <si>
    <t>S_Kinh-1</t>
  </si>
  <si>
    <t>Kinh</t>
  </si>
  <si>
    <t>Vietnam</t>
  </si>
  <si>
    <t>Ho Chi Minh City</t>
  </si>
  <si>
    <t>LP6005442-DNA_C11</t>
  </si>
  <si>
    <t>HG01846</t>
  </si>
  <si>
    <t>S_Kinh-2</t>
  </si>
  <si>
    <t>LP6005443-DNA_D06</t>
  </si>
  <si>
    <t>ND19394</t>
  </si>
  <si>
    <t>S_Korean-1</t>
  </si>
  <si>
    <t>Korean</t>
  </si>
  <si>
    <t>Korea</t>
  </si>
  <si>
    <t>LP6005443-DNA_C06</t>
  </si>
  <si>
    <t>NA00726</t>
  </si>
  <si>
    <t>S_Korean-2</t>
  </si>
  <si>
    <t>LP6005443-DNA_C09</t>
  </si>
  <si>
    <t>Kusunda02</t>
  </si>
  <si>
    <t>K-2</t>
  </si>
  <si>
    <t>S_Kusunda-1</t>
  </si>
  <si>
    <t>Kusunda</t>
  </si>
  <si>
    <t>Nepal</t>
  </si>
  <si>
    <t>Ghorahi</t>
  </si>
  <si>
    <t>LP6005443-DNA_D09</t>
  </si>
  <si>
    <t>Kusunda15</t>
  </si>
  <si>
    <t>K-15</t>
  </si>
  <si>
    <t>S_Kusunda-2</t>
  </si>
  <si>
    <t>Damauli</t>
  </si>
  <si>
    <t>LP6005677-DNA_B02</t>
  </si>
  <si>
    <t>Bishkek28440</t>
  </si>
  <si>
    <t>S_Kyrgyz-1</t>
  </si>
  <si>
    <t>Kyrgyz</t>
  </si>
  <si>
    <t>Kyrgyzystan</t>
  </si>
  <si>
    <t>Bishkek</t>
  </si>
  <si>
    <t>Robert Mahley / Ugur Hodoglugil</t>
  </si>
  <si>
    <t>LP6005677-DNA_A02</t>
  </si>
  <si>
    <t>Bishkek28439</t>
  </si>
  <si>
    <t>S_Kyrgyz-2</t>
  </si>
  <si>
    <t>LP6005441-DNA_B07</t>
  </si>
  <si>
    <t>HGDP01323</t>
  </si>
  <si>
    <t>S_Lahu-1</t>
  </si>
  <si>
    <t>Lahu</t>
  </si>
  <si>
    <t>LP6005443-DNA_E01</t>
  </si>
  <si>
    <t>HGDP01320</t>
  </si>
  <si>
    <t>S_Lahu-2</t>
  </si>
  <si>
    <t>LP6005442-DNA_H04</t>
  </si>
  <si>
    <t>lez49</t>
  </si>
  <si>
    <t>S_Lezgin-1</t>
  </si>
  <si>
    <t>Lezgin</t>
  </si>
  <si>
    <t>Dagestanskiye_Ogni_in_Dagestan</t>
  </si>
  <si>
    <t>LP6005442-DNA_G04</t>
  </si>
  <si>
    <t>lez42</t>
  </si>
  <si>
    <t>S_Lezgin-2</t>
  </si>
  <si>
    <t>LP6005442-DNA_F11</t>
  </si>
  <si>
    <t>NA19023</t>
  </si>
  <si>
    <t>S_Luhya-1</t>
  </si>
  <si>
    <t>Luhya</t>
  </si>
  <si>
    <t>Webuye</t>
  </si>
  <si>
    <t>LP6005442-DNA_E11</t>
  </si>
  <si>
    <t>NA19044</t>
  </si>
  <si>
    <t>S_Luhya-2</t>
  </si>
  <si>
    <t>LP6005677-DNA_G01</t>
  </si>
  <si>
    <t>Ayodo_430C</t>
  </si>
  <si>
    <t>S_Luo-1</t>
  </si>
  <si>
    <t>Luo</t>
  </si>
  <si>
    <t>BondoDistrict</t>
  </si>
  <si>
    <t>LP6005442-DNA_F09</t>
  </si>
  <si>
    <t>Ayodo_502C</t>
  </si>
  <si>
    <t>S_Luo-2</t>
  </si>
  <si>
    <t>LP6005519-DNA_G04</t>
  </si>
  <si>
    <t>M4</t>
  </si>
  <si>
    <t>S_Madiga-1</t>
  </si>
  <si>
    <t>Madiga</t>
  </si>
  <si>
    <t>LP6005519-DNA_H04</t>
  </si>
  <si>
    <t>M13</t>
  </si>
  <si>
    <t>S_Madiga-2</t>
  </si>
  <si>
    <t>LP6005441-DNA_C07</t>
  </si>
  <si>
    <t>HGDP00160</t>
  </si>
  <si>
    <t>S_Makrani-1</t>
  </si>
  <si>
    <t>Makrani</t>
  </si>
  <si>
    <t>LP6005441-DNA_D07</t>
  </si>
  <si>
    <t>HGDP00157</t>
  </si>
  <si>
    <t>S_Makrani-2</t>
  </si>
  <si>
    <t>LP6005519-DNA_E04</t>
  </si>
  <si>
    <t>ML2</t>
  </si>
  <si>
    <t>S_Mala-2</t>
  </si>
  <si>
    <t>Mala</t>
  </si>
  <si>
    <t>LP6005519-DNA_F04</t>
  </si>
  <si>
    <t>ML3</t>
  </si>
  <si>
    <t>S_Mala-3</t>
  </si>
  <si>
    <t>LP6005441-DNA_E07</t>
  </si>
  <si>
    <t>HGDP01199</t>
  </si>
  <si>
    <t>S_Mandenka-1</t>
  </si>
  <si>
    <t>LP6005441-DNA_F07</t>
  </si>
  <si>
    <t>HGDP00915</t>
  </si>
  <si>
    <t>S_Mandenka-2</t>
  </si>
  <si>
    <t>LP6005443-DNA_F04</t>
  </si>
  <si>
    <t>Mansi79</t>
  </si>
  <si>
    <t>S_Mansi-1</t>
  </si>
  <si>
    <t>Mansi</t>
  </si>
  <si>
    <t>Sos'va river</t>
  </si>
  <si>
    <t>LP6005443-DNA_G04</t>
  </si>
  <si>
    <t>Mansi41</t>
  </si>
  <si>
    <t>S_Mansi-2</t>
  </si>
  <si>
    <t>Shugur</t>
  </si>
  <si>
    <t>LP6005441-DNA_G07</t>
  </si>
  <si>
    <t>HGDP00855</t>
  </si>
  <si>
    <t>S_Mayan-1</t>
  </si>
  <si>
    <t>Mayan</t>
  </si>
  <si>
    <t>LP6005441-DNA_H07</t>
  </si>
  <si>
    <t>HGDP00857</t>
  </si>
  <si>
    <t>S_Mayan-2</t>
  </si>
  <si>
    <t>LP6005442-DNA_G11</t>
  </si>
  <si>
    <t>HG03078</t>
  </si>
  <si>
    <t>S_Mende-1</t>
  </si>
  <si>
    <t>Mende</t>
  </si>
  <si>
    <t>SierraLeone</t>
  </si>
  <si>
    <t>LP6005442-DNA_H11</t>
  </si>
  <si>
    <t>HG03085</t>
  </si>
  <si>
    <t>S_Mende-2</t>
  </si>
  <si>
    <t>LP6005441-DNA_C08</t>
  </si>
  <si>
    <t>HGDP01191</t>
  </si>
  <si>
    <t>S_Miao-1</t>
  </si>
  <si>
    <t>Miao</t>
  </si>
  <si>
    <t>LP6005441-DNA_D08</t>
  </si>
  <si>
    <t>HGDP01198</t>
  </si>
  <si>
    <t>S_Miao-2</t>
  </si>
  <si>
    <t>LP6005443-DNA_E11</t>
  </si>
  <si>
    <t>mixe0002</t>
  </si>
  <si>
    <t>S_Mixe-2</t>
  </si>
  <si>
    <t>LP6005443-DNA_F11</t>
  </si>
  <si>
    <t>mixe0042</t>
  </si>
  <si>
    <t>S_Mixe-3</t>
  </si>
  <si>
    <t>Tamazulapan</t>
  </si>
  <si>
    <t>LP6005443-DNA_G11</t>
  </si>
  <si>
    <t>mixa0099</t>
  </si>
  <si>
    <t>S_Mixtec-1</t>
  </si>
  <si>
    <t>Mixtec</t>
  </si>
  <si>
    <t>San Andres Nuxino</t>
  </si>
  <si>
    <t>William Klitz / Cheryl Winkler</t>
  </si>
  <si>
    <t>LP6005443-DNA_H11</t>
  </si>
  <si>
    <t>mixa0105</t>
  </si>
  <si>
    <t>S_Mixtec-2</t>
  </si>
  <si>
    <t>LP6005441-DNA_E08</t>
  </si>
  <si>
    <t>HGDP01228</t>
  </si>
  <si>
    <t>S_Mongola-1</t>
  </si>
  <si>
    <t>Mongola</t>
  </si>
  <si>
    <t>LP6005441-DNA_F08</t>
  </si>
  <si>
    <t>HGDP01223</t>
  </si>
  <si>
    <t>S_Mongola-2</t>
  </si>
  <si>
    <t>LP6005443-DNA_E10</t>
  </si>
  <si>
    <t>NorthOssetia12</t>
  </si>
  <si>
    <t>S_North_Ossetian-1</t>
  </si>
  <si>
    <t>North_Ossetian</t>
  </si>
  <si>
    <t>Vladikavkaz in Republic of North Ossetia Alania</t>
  </si>
  <si>
    <t>LP6005443-DNA_F10</t>
  </si>
  <si>
    <t>NorthOssetia5</t>
  </si>
  <si>
    <t>S_North_Ossetian-2</t>
  </si>
  <si>
    <t>LP6005441-DNA_C09</t>
  </si>
  <si>
    <t>HGDP00798</t>
  </si>
  <si>
    <t>S_Orcadian-1</t>
  </si>
  <si>
    <t>Orcadian</t>
  </si>
  <si>
    <t>OrkneyIslands</t>
  </si>
  <si>
    <t>LP6005441-DNA_D09</t>
  </si>
  <si>
    <t>HGDP00796</t>
  </si>
  <si>
    <t>S_Orcadian-2</t>
  </si>
  <si>
    <t>LP6005441-DNA_E09</t>
  </si>
  <si>
    <t>HGDP01203</t>
  </si>
  <si>
    <t>S_Oroqen-1</t>
  </si>
  <si>
    <t>Oroqen</t>
  </si>
  <si>
    <t>LP6005441-DNA_F09</t>
  </si>
  <si>
    <t>HGDP01211</t>
  </si>
  <si>
    <t>S_Oroqen-2</t>
  </si>
  <si>
    <t>LP6005441-DNA_C10</t>
  </si>
  <si>
    <t>HGDP00216</t>
  </si>
  <si>
    <t>S_Pathan-1</t>
  </si>
  <si>
    <t>Pathan</t>
  </si>
  <si>
    <t>LP6005441-DNA_D10</t>
  </si>
  <si>
    <t>HGDP00232</t>
  </si>
  <si>
    <t>S_Pathan-2</t>
  </si>
  <si>
    <t>LP6005441-DNA_A04</t>
  </si>
  <si>
    <t>HGDP00702</t>
  </si>
  <si>
    <t>S_Piapoco-1</t>
  </si>
  <si>
    <t>Piapoco</t>
  </si>
  <si>
    <t>Colombia</t>
  </si>
  <si>
    <t>LP6005441-DNA_B04</t>
  </si>
  <si>
    <t>HGDP00706</t>
  </si>
  <si>
    <t>S_Piapoco-2</t>
  </si>
  <si>
    <t>LP6005519-DNA_A05</t>
  </si>
  <si>
    <t>R3</t>
  </si>
  <si>
    <t>S_Relli-1</t>
  </si>
  <si>
    <t>Relli</t>
  </si>
  <si>
    <t>LP6005519-DNA_B05</t>
  </si>
  <si>
    <t>R6</t>
  </si>
  <si>
    <t>S_Relli-2</t>
  </si>
  <si>
    <t>LP6005592-DNA_C01</t>
  </si>
  <si>
    <t>Utsa21</t>
  </si>
  <si>
    <t>S_Saami-1</t>
  </si>
  <si>
    <t>Saami</t>
  </si>
  <si>
    <t>Finland</t>
  </si>
  <si>
    <t>Utsjoki</t>
  </si>
  <si>
    <t>Antti Sajantila</t>
  </si>
  <si>
    <t>LP6005592-DNA_D01</t>
  </si>
  <si>
    <t>Utsa22</t>
  </si>
  <si>
    <t>S_Saami-2</t>
  </si>
  <si>
    <t>LP6005619-DNA_B01</t>
  </si>
  <si>
    <t>SAH31</t>
  </si>
  <si>
    <t>S_Saharawi-1</t>
  </si>
  <si>
    <t>Saharawi</t>
  </si>
  <si>
    <t>Western Sahara (Morocco)</t>
  </si>
  <si>
    <t>Close to the Algerian border</t>
  </si>
  <si>
    <t>LP6005619-DNA_C01</t>
  </si>
  <si>
    <t>SAH41</t>
  </si>
  <si>
    <t>S_Saharawi-2</t>
  </si>
  <si>
    <t>LP6005441-DNA_C11</t>
  </si>
  <si>
    <t>HGDP01079</t>
  </si>
  <si>
    <t>S_Sardinian-1</t>
  </si>
  <si>
    <t>Italy(Sardinia)</t>
  </si>
  <si>
    <t>LP6005441-DNA_D11</t>
  </si>
  <si>
    <t>HGDP01078</t>
  </si>
  <si>
    <t>S_Sardinian-2</t>
  </si>
  <si>
    <t>LP6005443-DNA_G01</t>
  </si>
  <si>
    <t>HGDP01335</t>
  </si>
  <si>
    <t>S_She-1</t>
  </si>
  <si>
    <t>She</t>
  </si>
  <si>
    <t>LP6005443-DNA_F01</t>
  </si>
  <si>
    <t>HGDP01333</t>
  </si>
  <si>
    <t>S_She-2</t>
  </si>
  <si>
    <t>LP6005441-DNA_G11</t>
  </si>
  <si>
    <t>HGDP00208</t>
  </si>
  <si>
    <t>S_Sindhi-1</t>
  </si>
  <si>
    <t>Sindhi</t>
  </si>
  <si>
    <t>LP6005441-DNA_H11</t>
  </si>
  <si>
    <t>HGDP00195</t>
  </si>
  <si>
    <t>S_Sindhi-2</t>
  </si>
  <si>
    <t>LP6005442-DNA_A11</t>
  </si>
  <si>
    <t>HG01503</t>
  </si>
  <si>
    <t>S_Spanish-1</t>
  </si>
  <si>
    <t>Spanish</t>
  </si>
  <si>
    <t>Spain</t>
  </si>
  <si>
    <t>Castilla la Mancha</t>
  </si>
  <si>
    <t>LP6005442-DNA_B11</t>
  </si>
  <si>
    <t>HG01504</t>
  </si>
  <si>
    <t>S_Spanish-2</t>
  </si>
  <si>
    <t>LP6005441-DNA_A12</t>
  </si>
  <si>
    <t>HGDP00846</t>
  </si>
  <si>
    <t>S_Surui-1</t>
  </si>
  <si>
    <t>Surui</t>
  </si>
  <si>
    <t>LP6005441-DNA_B12</t>
  </si>
  <si>
    <t>HGDP00852</t>
  </si>
  <si>
    <t>S_Surui-2</t>
  </si>
  <si>
    <t>LP6005519-DNA_C03</t>
  </si>
  <si>
    <t>tdj409_shugnan</t>
  </si>
  <si>
    <t>S_Tajik-1</t>
  </si>
  <si>
    <t>Tajik</t>
  </si>
  <si>
    <t>Tajikistan</t>
  </si>
  <si>
    <t>Shughnon District</t>
  </si>
  <si>
    <t>Mait Metspalu / Oleg Balanovsky /Elena Balanovska</t>
  </si>
  <si>
    <t>LP6005519-DNA_D03</t>
  </si>
  <si>
    <t>tdj430_shugnan</t>
  </si>
  <si>
    <t>S_Tajik-2</t>
  </si>
  <si>
    <t>LP6005443-DNA_A07</t>
  </si>
  <si>
    <t>CHI-007</t>
  </si>
  <si>
    <t>S_Thai-1</t>
  </si>
  <si>
    <t>Thai</t>
  </si>
  <si>
    <t>Thailand</t>
  </si>
  <si>
    <t>LP6005443-DNA_B07</t>
  </si>
  <si>
    <t>CHI-034</t>
  </si>
  <si>
    <t>S_Thai-2</t>
  </si>
  <si>
    <t>LP6005443-DNA_E05</t>
  </si>
  <si>
    <t>Ale32</t>
  </si>
  <si>
    <t>S_Tlingit-1</t>
  </si>
  <si>
    <t>Tlingit</t>
  </si>
  <si>
    <t>Petropavlovsk-Kamchatski</t>
  </si>
  <si>
    <t>LP6005443-DNA_D05</t>
  </si>
  <si>
    <t>Ale14</t>
  </si>
  <si>
    <t>S_Tlingit-2</t>
  </si>
  <si>
    <t>LP6005443-DNA_H01</t>
  </si>
  <si>
    <t>HGDP01350</t>
  </si>
  <si>
    <t>S_Tu-1</t>
  </si>
  <si>
    <t>Tu</t>
  </si>
  <si>
    <t>LP6005441-DNA_D12</t>
  </si>
  <si>
    <t>HGDP01355</t>
  </si>
  <si>
    <t>S_Tu-2</t>
  </si>
  <si>
    <t>LP6005442-DNA_F12</t>
  </si>
  <si>
    <t>Tuba19</t>
  </si>
  <si>
    <t>S_Tubalar-1</t>
  </si>
  <si>
    <t>Tubalar</t>
  </si>
  <si>
    <t>Artybash and Kebezen</t>
  </si>
  <si>
    <t>LP6005442-DNA_E12</t>
  </si>
  <si>
    <t>Tuba9</t>
  </si>
  <si>
    <t>S_Tubalar-2</t>
  </si>
  <si>
    <t>LP6005443-DNA_A02</t>
  </si>
  <si>
    <t>HGDP01095</t>
  </si>
  <si>
    <t>S_Tujia-1</t>
  </si>
  <si>
    <t>Tujia</t>
  </si>
  <si>
    <t>LP6005441-DNA_F12</t>
  </si>
  <si>
    <t>HGDP01098</t>
  </si>
  <si>
    <t>S_Tujia-2</t>
  </si>
  <si>
    <t>LP6005677-DNA_C03</t>
  </si>
  <si>
    <t>Kayseri23827</t>
  </si>
  <si>
    <t>S_Turkish-1</t>
  </si>
  <si>
    <t>Turkish</t>
  </si>
  <si>
    <t>Turkey</t>
  </si>
  <si>
    <t>Kayseri</t>
  </si>
  <si>
    <t>LP6005677-DNA_A03</t>
  </si>
  <si>
    <t>Kayseri24424</t>
  </si>
  <si>
    <t>S_Turkish-2</t>
  </si>
  <si>
    <t>LP6005441-DNA_H12</t>
  </si>
  <si>
    <t>HGDP01168</t>
  </si>
  <si>
    <t>S_Tuscan-1</t>
  </si>
  <si>
    <t>Tuscan</t>
  </si>
  <si>
    <t>Italy(Tuscany)</t>
  </si>
  <si>
    <t>LP6005441-DNA_G12</t>
  </si>
  <si>
    <t>HGDP01163</t>
  </si>
  <si>
    <t>S_Tuscan-2</t>
  </si>
  <si>
    <t>LP6005442-DNA_H12</t>
  </si>
  <si>
    <t>Ul31</t>
  </si>
  <si>
    <t>S_Ulchi-1</t>
  </si>
  <si>
    <t>Ulchi</t>
  </si>
  <si>
    <t>Nizhniy Gavan</t>
  </si>
  <si>
    <t>LP6005442-DNA_G12</t>
  </si>
  <si>
    <t>Ul5</t>
  </si>
  <si>
    <t>S_Ulchi-2</t>
  </si>
  <si>
    <t>Bogorodskoe</t>
  </si>
  <si>
    <t>LP6005442-DNA_B01</t>
  </si>
  <si>
    <t>HGDP01306</t>
  </si>
  <si>
    <t>S_Uygur-1</t>
  </si>
  <si>
    <t>Uygur</t>
  </si>
  <si>
    <t>Yili</t>
  </si>
  <si>
    <t>LP6005443-DNA_B02</t>
  </si>
  <si>
    <t>HGDP01297</t>
  </si>
  <si>
    <t>S_Uygur-2</t>
  </si>
  <si>
    <t>LP6005442-DNA_D01</t>
  </si>
  <si>
    <t>HGDP01250</t>
  </si>
  <si>
    <t>S_Xibo-1</t>
  </si>
  <si>
    <t>Xibo</t>
  </si>
  <si>
    <t>LP6005443-DNA_C02</t>
  </si>
  <si>
    <t>HGDP01246</t>
  </si>
  <si>
    <t>S_Xibo-2</t>
  </si>
  <si>
    <t>LP6005519-DNA_C04</t>
  </si>
  <si>
    <t>Y4</t>
  </si>
  <si>
    <t>S_Yadava-1</t>
  </si>
  <si>
    <t>Yadava</t>
  </si>
  <si>
    <t>LP6005519-DNA_D04</t>
  </si>
  <si>
    <t>Y8</t>
  </si>
  <si>
    <t>S_Yadava-2</t>
  </si>
  <si>
    <t>LP6005442-DNA_F01</t>
  </si>
  <si>
    <t>HGDP00956</t>
  </si>
  <si>
    <t>S_Yakut-1</t>
  </si>
  <si>
    <t>Yakut</t>
  </si>
  <si>
    <t>LP6005443-DNA_D02</t>
  </si>
  <si>
    <t>HGDP00951</t>
  </si>
  <si>
    <t>S_Yakut-2</t>
  </si>
  <si>
    <t>LP6005592-DNA_H01</t>
  </si>
  <si>
    <t>YemeniteJew4695</t>
  </si>
  <si>
    <t>S_Yemenite_Jew-1</t>
  </si>
  <si>
    <t>Yemenite_Jew</t>
  </si>
  <si>
    <t>Yemen</t>
  </si>
  <si>
    <t>LP6005592-DNA_G01</t>
  </si>
  <si>
    <t>YemeniteJew5433</t>
  </si>
  <si>
    <t>S_Yemenite_Jew-2</t>
  </si>
  <si>
    <t>LP6005442-DNA_G01</t>
  </si>
  <si>
    <t>HGDP01179</t>
  </si>
  <si>
    <t>S_Yi-1</t>
  </si>
  <si>
    <t>Yi</t>
  </si>
  <si>
    <t>LP6005442-DNA_H01</t>
  </si>
  <si>
    <t>HGDP01188</t>
  </si>
  <si>
    <t>S_Yi-2</t>
  </si>
  <si>
    <t>LP6005442-DNA_B02</t>
  </si>
  <si>
    <t>HGDP00928</t>
  </si>
  <si>
    <t>S_Yoruba-1</t>
  </si>
  <si>
    <t>LP6005442-DNA_A02</t>
  </si>
  <si>
    <t>HGDP00932</t>
  </si>
  <si>
    <t>S_Yoruba-2</t>
  </si>
  <si>
    <t>LP6005443-DNA_A12</t>
  </si>
  <si>
    <t>zapo0098</t>
  </si>
  <si>
    <t>S_Zapotec-1</t>
  </si>
  <si>
    <t>Zapotec</t>
  </si>
  <si>
    <t>San Juan Guelavia</t>
  </si>
  <si>
    <t>LP6005677-DNA_D01</t>
  </si>
  <si>
    <t>zapo0099</t>
  </si>
  <si>
    <t>S_Zapotec-2</t>
  </si>
  <si>
    <t>LP6005592-DNA_D03</t>
  </si>
  <si>
    <t>HGDP01314</t>
  </si>
  <si>
    <t>S_Dai-1</t>
  </si>
  <si>
    <t>LP6005443-DNA_B01</t>
  </si>
  <si>
    <t>HGDP01312</t>
  </si>
  <si>
    <t>S_Dai-2</t>
  </si>
  <si>
    <t>LP6005441-DNA_D04</t>
  </si>
  <si>
    <t>HGDP01315</t>
  </si>
  <si>
    <t>S_Dai-3</t>
  </si>
  <si>
    <t>LP6005592-DNA_F03</t>
  </si>
  <si>
    <t>Nlk1</t>
  </si>
  <si>
    <t>S_Even-1</t>
  </si>
  <si>
    <t>Even</t>
  </si>
  <si>
    <t>Djigda</t>
  </si>
  <si>
    <t>LP6005443-DNA_C04</t>
  </si>
  <si>
    <t>Nlk18</t>
  </si>
  <si>
    <t>S_Even-2</t>
  </si>
  <si>
    <t>LP6005443-DNA_B04</t>
  </si>
  <si>
    <t>Nlk3</t>
  </si>
  <si>
    <t>S_Even-3</t>
  </si>
  <si>
    <t>LP6005442-DNA_D10</t>
  </si>
  <si>
    <t>HG00174</t>
  </si>
  <si>
    <t>S_Finnish-1</t>
  </si>
  <si>
    <t>Finnish</t>
  </si>
  <si>
    <t>LP6005442-DNA_C10</t>
  </si>
  <si>
    <t>HG00190</t>
  </si>
  <si>
    <t>S_Finnish-2</t>
  </si>
  <si>
    <t>LP6005592-DNA_A02</t>
  </si>
  <si>
    <t>HG00360</t>
  </si>
  <si>
    <t>S_Finnish-3</t>
  </si>
  <si>
    <t>LP6005441-DNA_D06</t>
  </si>
  <si>
    <t>HGDP00773</t>
  </si>
  <si>
    <t>S_Japanese-2</t>
  </si>
  <si>
    <t>LP6005592-DNA_C02</t>
  </si>
  <si>
    <t>NA18940</t>
  </si>
  <si>
    <t>S_Japanese-3</t>
  </si>
  <si>
    <t>Tokyo</t>
  </si>
  <si>
    <t>LP6005592-DNA_G03</t>
  </si>
  <si>
    <t>Jordan445</t>
  </si>
  <si>
    <t>S_Jordanian-1</t>
  </si>
  <si>
    <t>LP6005442-DNA_E04</t>
  </si>
  <si>
    <t>Jordan214</t>
  </si>
  <si>
    <t>S_Jordanian-3</t>
  </si>
  <si>
    <t>LP6005441-DNA_B11</t>
  </si>
  <si>
    <t>HGDP00987</t>
  </si>
  <si>
    <t>S_Ju_hoan_North-2</t>
  </si>
  <si>
    <t>LP6005441-DNA_A11</t>
  </si>
  <si>
    <t>HGDP01032</t>
  </si>
  <si>
    <t>S_Ju_hoan_North-3</t>
  </si>
  <si>
    <t>LP6005592-DNA_C03</t>
  </si>
  <si>
    <t>HGDP00474</t>
  </si>
  <si>
    <t>S_Mbuti-1</t>
  </si>
  <si>
    <t>LP6005441-DNA_B08</t>
  </si>
  <si>
    <t>HGDP00476</t>
  </si>
  <si>
    <t>S_Mbuti-2</t>
  </si>
  <si>
    <t>LP6005441-DNA_A08</t>
  </si>
  <si>
    <t>HGDP00449</t>
  </si>
  <si>
    <t>S_Mbuti-3</t>
  </si>
  <si>
    <t>LP6005443-DNA_E09</t>
  </si>
  <si>
    <t>HGDP01338</t>
  </si>
  <si>
    <t>S_Naxi-1</t>
  </si>
  <si>
    <t>Naxi</t>
  </si>
  <si>
    <t>LP6005441-DNA_B09</t>
  </si>
  <si>
    <t>HGDP01345</t>
  </si>
  <si>
    <t>S_Naxi-3</t>
  </si>
  <si>
    <t>LP6005592-DNA_B03</t>
  </si>
  <si>
    <t>HGDP00722</t>
  </si>
  <si>
    <t>S_Palestinian-1</t>
  </si>
  <si>
    <t>LP6005441-DNA_G09</t>
  </si>
  <si>
    <t>HGDP00725</t>
  </si>
  <si>
    <t>S_Palestinian-2</t>
  </si>
  <si>
    <t>LP6005677-DNA_F01</t>
  </si>
  <si>
    <t>NA11201</t>
  </si>
  <si>
    <t>S_Quechua-1</t>
  </si>
  <si>
    <t>Quechua</t>
  </si>
  <si>
    <t>Peru</t>
  </si>
  <si>
    <t>LP6005677-DNA_E01</t>
  </si>
  <si>
    <t>NA11200</t>
  </si>
  <si>
    <t>S_Quechua-2</t>
  </si>
  <si>
    <t>LP6005519-DNA_G02</t>
  </si>
  <si>
    <t>Peru60</t>
  </si>
  <si>
    <t>S_Quechua-3</t>
  </si>
  <si>
    <t>Chris Tyler-Smith / Andres Ruiz-Linares</t>
  </si>
  <si>
    <t>LP6005592-DNA_B04</t>
  </si>
  <si>
    <t>HG02724</t>
  </si>
  <si>
    <t>S_Punjabi-1</t>
  </si>
  <si>
    <t>LP6005442-DNA_A12</t>
  </si>
  <si>
    <t>HG02783</t>
  </si>
  <si>
    <t>S_Punjabi-2</t>
  </si>
  <si>
    <t>LP6005442-DNA_B12</t>
  </si>
  <si>
    <t>HG02790</t>
  </si>
  <si>
    <t>S_Punjabi-3</t>
  </si>
  <si>
    <t>LP6005441-DNA_B10</t>
  </si>
  <si>
    <t>HGDP00550</t>
  </si>
  <si>
    <t>S_Papuan-1</t>
  </si>
  <si>
    <t>LP6005443-DNA_B08</t>
  </si>
  <si>
    <t>HGDP00553</t>
  </si>
  <si>
    <t>S_Papuan-10</t>
  </si>
  <si>
    <t>LP6005443-DNA_C07</t>
  </si>
  <si>
    <t>HGDP00555</t>
  </si>
  <si>
    <t>S_Papuan-11</t>
  </si>
  <si>
    <t>LP6005443-DNA_G07</t>
  </si>
  <si>
    <t>HGDP00556</t>
  </si>
  <si>
    <t>S_Papuan-12</t>
  </si>
  <si>
    <t>LP6005443-DNA_D08</t>
  </si>
  <si>
    <t>HGDP00552</t>
  </si>
  <si>
    <t>S_Papuan-13</t>
  </si>
  <si>
    <t>LP6005443-DNA_E08</t>
  </si>
  <si>
    <t>HGDP00554</t>
  </si>
  <si>
    <t>S_Papuan-14</t>
  </si>
  <si>
    <t>LP6005443-DNA_H07</t>
  </si>
  <si>
    <t>HGDP00540</t>
  </si>
  <si>
    <t>S_Papuan-2</t>
  </si>
  <si>
    <t>LP6005443-DNA_E07</t>
  </si>
  <si>
    <t>HGDP00543</t>
  </si>
  <si>
    <t>S_Papuan-4</t>
  </si>
  <si>
    <t>LP6005443-DNA_D07</t>
  </si>
  <si>
    <t>HGDP00545</t>
  </si>
  <si>
    <t>S_Papuan-5</t>
  </si>
  <si>
    <t>LP6005443-DNA_C08</t>
  </si>
  <si>
    <t>HGDP00547</t>
  </si>
  <si>
    <t>S_Papuan-6</t>
  </si>
  <si>
    <t>LP6005443-DNA_F07</t>
  </si>
  <si>
    <t>HGDP00548</t>
  </si>
  <si>
    <t>S_Papuan-7</t>
  </si>
  <si>
    <t>LP6005443-DNA_A08</t>
  </si>
  <si>
    <t>HGDP00549</t>
  </si>
  <si>
    <t>S_Papuan-8</t>
  </si>
  <si>
    <t>LP6005443-DNA_F08</t>
  </si>
  <si>
    <t>HGDP00551</t>
  </si>
  <si>
    <t>S_Papuan-9</t>
  </si>
  <si>
    <t>LP6007076-DNA_A01</t>
  </si>
  <si>
    <t>SS6004486</t>
  </si>
  <si>
    <t>BR_Kashmiri_Pandit-1</t>
  </si>
  <si>
    <t>Kashmiri_Pandit</t>
  </si>
  <si>
    <t>Draw</t>
  </si>
  <si>
    <t>LP6007071-DNA_A01</t>
  </si>
  <si>
    <t>SS6004481</t>
  </si>
  <si>
    <t>BR_Kharia-1</t>
  </si>
  <si>
    <t>Kharia</t>
  </si>
  <si>
    <t>Tapkara</t>
  </si>
  <si>
    <t>LP6007072-DNA_A01</t>
  </si>
  <si>
    <t>SS6004482</t>
  </si>
  <si>
    <t>BR_Kurumba-1</t>
  </si>
  <si>
    <t>Kurumba</t>
  </si>
  <si>
    <t>Palakkad</t>
  </si>
  <si>
    <t>LP6007075-DNA_A01</t>
  </si>
  <si>
    <t>SS6004485</t>
  </si>
  <si>
    <t>BR_Mala-1</t>
  </si>
  <si>
    <t>Vishakapatman</t>
  </si>
  <si>
    <t>LP6007073-DNA_A01</t>
  </si>
  <si>
    <t>SS6004483</t>
  </si>
  <si>
    <t>BR_Onge-1</t>
  </si>
  <si>
    <t>Onge</t>
  </si>
  <si>
    <t>Andaman &amp; Nicobar</t>
  </si>
  <si>
    <t>K. Thangaraj / Lalji Singh</t>
  </si>
  <si>
    <t>SignedLetterNoDelay</t>
  </si>
  <si>
    <t>Y</t>
  </si>
  <si>
    <t>LP6007074-DNA_A01</t>
  </si>
  <si>
    <t>SS6004484</t>
  </si>
  <si>
    <t>BR_Onge-2</t>
  </si>
  <si>
    <t>LP6005519-DNA_A09</t>
  </si>
  <si>
    <t>COKN016</t>
  </si>
  <si>
    <t>S_Kongo-2</t>
  </si>
  <si>
    <t>Kongo</t>
  </si>
  <si>
    <t>Bandevouri-Fang</t>
  </si>
  <si>
    <t>Sarah Tishkoff</t>
  </si>
  <si>
    <t>LP6005519-DNA_A03</t>
  </si>
  <si>
    <t>Mex02</t>
  </si>
  <si>
    <t>S_Nahua-1</t>
  </si>
  <si>
    <t>Nahua</t>
  </si>
  <si>
    <t>Zitlala</t>
  </si>
  <si>
    <t>Chris Tyler-Smith / Andres Ruiz-Linares / Andres Moreno-Estrada</t>
  </si>
  <si>
    <t>LP6005519-DNA_B03</t>
  </si>
  <si>
    <t>Mex20</t>
  </si>
  <si>
    <t>S_Nahua-2</t>
  </si>
  <si>
    <t>LP6005442-DNA_H06</t>
  </si>
  <si>
    <t>NAD93</t>
  </si>
  <si>
    <t>S_Chipewyan-1</t>
  </si>
  <si>
    <t>Chipewyan</t>
  </si>
  <si>
    <t>Canada</t>
  </si>
  <si>
    <t>Uranium City</t>
  </si>
  <si>
    <t>Damian Labuda</t>
  </si>
  <si>
    <t>LP6005443-DNA_F05</t>
  </si>
  <si>
    <t>NAD59</t>
  </si>
  <si>
    <t>S_Chipewyan-2</t>
  </si>
  <si>
    <t>Saskatchewan</t>
  </si>
  <si>
    <t>LP6005442-DNA_A07</t>
  </si>
  <si>
    <t>Cree5</t>
  </si>
  <si>
    <t>S_Cree-1</t>
  </si>
  <si>
    <t>Cree</t>
  </si>
  <si>
    <t>LP6005442-DNA_B07</t>
  </si>
  <si>
    <t>Cree6</t>
  </si>
  <si>
    <t>S_Cree-2</t>
  </si>
  <si>
    <t>LP6005519-DNA_A12</t>
  </si>
  <si>
    <t>NGIB034</t>
  </si>
  <si>
    <t>S_Igbo-1</t>
  </si>
  <si>
    <t>Igbo</t>
  </si>
  <si>
    <t>Kwamba Suleja</t>
  </si>
  <si>
    <t>LP6005519-DNA_B12</t>
  </si>
  <si>
    <t>NGIB042</t>
  </si>
  <si>
    <t>S_Igbo-2</t>
  </si>
  <si>
    <t>LP6005677-DNA_C04</t>
  </si>
  <si>
    <t>CALM031</t>
  </si>
  <si>
    <t>S_Lemande-1</t>
  </si>
  <si>
    <t>Lemande</t>
  </si>
  <si>
    <t>Cameroon</t>
  </si>
  <si>
    <t>Tobagne</t>
  </si>
  <si>
    <t>LP6005677-DNA_D04</t>
  </si>
  <si>
    <t>CALM016</t>
  </si>
  <si>
    <t>S_Lemande-2</t>
  </si>
  <si>
    <t>LP6005592-DNA_E05</t>
  </si>
  <si>
    <t>ADR1</t>
  </si>
  <si>
    <t>T_Sherpa-1</t>
  </si>
  <si>
    <t>Sherpa</t>
  </si>
  <si>
    <t>Khumbu</t>
  </si>
  <si>
    <t>Anna Di Rienzo / Cynthia Beall</t>
  </si>
  <si>
    <t>Genomic from saliva</t>
  </si>
  <si>
    <t>LP6005592-DNA_F05</t>
  </si>
  <si>
    <t>ADR2</t>
  </si>
  <si>
    <t>T_Sherpa-2</t>
  </si>
  <si>
    <t>LP6005592-DNA_G05</t>
  </si>
  <si>
    <t>ADR3</t>
  </si>
  <si>
    <t>T_Tibetan-1</t>
  </si>
  <si>
    <t>Tibetan</t>
  </si>
  <si>
    <t>Tibet</t>
  </si>
  <si>
    <t>Gorkha District</t>
  </si>
  <si>
    <t>LP6005619-DNA_A01</t>
  </si>
  <si>
    <t>ADR4</t>
  </si>
  <si>
    <t>T_Tibetan-2</t>
  </si>
  <si>
    <t>Mustang District</t>
  </si>
  <si>
    <t>LP6005519-DNA_C09</t>
  </si>
  <si>
    <t>ETAR011</t>
  </si>
  <si>
    <t>T_Aari-1</t>
  </si>
  <si>
    <t>Aari</t>
  </si>
  <si>
    <t>Ethiopia</t>
  </si>
  <si>
    <t>Gieza</t>
  </si>
  <si>
    <t>SignedLetterDelay</t>
  </si>
  <si>
    <t>Z</t>
  </si>
  <si>
    <t>LP6005519-DNA_D09</t>
  </si>
  <si>
    <t>ETAR005</t>
  </si>
  <si>
    <t>T_Aari-2</t>
  </si>
  <si>
    <t>LP6005519-DNA_E09</t>
  </si>
  <si>
    <t>ETAI021</t>
  </si>
  <si>
    <t>T_Agaw-1</t>
  </si>
  <si>
    <t>Agaw</t>
  </si>
  <si>
    <t>Sankit Ledeta</t>
  </si>
  <si>
    <t>LP6005519-DNA_F09</t>
  </si>
  <si>
    <t>ETAI032</t>
  </si>
  <si>
    <t>T_Agaw-2</t>
  </si>
  <si>
    <t>LP6005519-DNA_G09</t>
  </si>
  <si>
    <t>ETAM046</t>
  </si>
  <si>
    <t>T_Amhara-1</t>
  </si>
  <si>
    <t>Amhara</t>
  </si>
  <si>
    <t>Debele</t>
  </si>
  <si>
    <t>LP6005519-DNA_H09</t>
  </si>
  <si>
    <t>ETAM048</t>
  </si>
  <si>
    <t>T_Amhara-2</t>
  </si>
  <si>
    <t>LP6005519-DNA_G06</t>
  </si>
  <si>
    <t>CAPB016</t>
  </si>
  <si>
    <t>T_Baka-1</t>
  </si>
  <si>
    <t>Baka</t>
  </si>
  <si>
    <t>Yen Oveng</t>
  </si>
  <si>
    <t>LP6005677-DNA_E03</t>
  </si>
  <si>
    <t>CAPB007</t>
  </si>
  <si>
    <t>T_Baka-2</t>
  </si>
  <si>
    <t>LP6005677-DNA_F03</t>
  </si>
  <si>
    <t>CAPL056</t>
  </si>
  <si>
    <t>T_Bakola-1</t>
  </si>
  <si>
    <t>Bakola</t>
  </si>
  <si>
    <t>Lolodorf</t>
  </si>
  <si>
    <t>LP6005677-DNA_G03</t>
  </si>
  <si>
    <t>CAPL044</t>
  </si>
  <si>
    <t>T_Bakola-2</t>
  </si>
  <si>
    <t>Bipindi</t>
  </si>
  <si>
    <t>LP6005519-DNA_C07</t>
  </si>
  <si>
    <t>CAPM001</t>
  </si>
  <si>
    <t>T_Bedzan-1</t>
  </si>
  <si>
    <t>Bedzan</t>
  </si>
  <si>
    <t>Nditam</t>
  </si>
  <si>
    <t>LP6005677-DNA_H03</t>
  </si>
  <si>
    <t>CAPM019</t>
  </si>
  <si>
    <t>T_Bedzan-2</t>
  </si>
  <si>
    <t>LP6005519-DNA_E08</t>
  </si>
  <si>
    <t>CHBU007</t>
  </si>
  <si>
    <t>T_Bulala-1</t>
  </si>
  <si>
    <t>Bulala</t>
  </si>
  <si>
    <t>Chad</t>
  </si>
  <si>
    <t>Lac Fitri</t>
  </si>
  <si>
    <t>LP6005519-DNA_F08</t>
  </si>
  <si>
    <t>CHBU001</t>
  </si>
  <si>
    <t>T_Bulala-2</t>
  </si>
  <si>
    <t>LP6005519-DNA_G10</t>
  </si>
  <si>
    <t>KEEL005B</t>
  </si>
  <si>
    <t>T_Elmolo-1</t>
  </si>
  <si>
    <t>Elmolo</t>
  </si>
  <si>
    <t>Layeni</t>
  </si>
  <si>
    <t>LP6005519-DNA_H10</t>
  </si>
  <si>
    <t>KEEL023A</t>
  </si>
  <si>
    <t>T_Elmolo-2</t>
  </si>
  <si>
    <t>LP6005677-DNA_A04</t>
  </si>
  <si>
    <t>CAMF011</t>
  </si>
  <si>
    <t>T_Fulani-1</t>
  </si>
  <si>
    <t>Fulani</t>
  </si>
  <si>
    <t>Saah</t>
  </si>
  <si>
    <t>LP6005677-DNA_B04</t>
  </si>
  <si>
    <t>CAMF023</t>
  </si>
  <si>
    <t>T_Fulani-2</t>
  </si>
  <si>
    <t>LP6005519-DNA_D12</t>
  </si>
  <si>
    <t>TZHZ027</t>
  </si>
  <si>
    <t>T_Hadza-1</t>
  </si>
  <si>
    <t>Hadza</t>
  </si>
  <si>
    <t>Tanzania</t>
  </si>
  <si>
    <t>Somoyanda</t>
  </si>
  <si>
    <t>LP6005519-DNA_C12</t>
  </si>
  <si>
    <t>TZHZ018</t>
  </si>
  <si>
    <t>T_Hadza-2</t>
  </si>
  <si>
    <t>Shimbiguga</t>
  </si>
  <si>
    <t>LP6005519-DNA_F12</t>
  </si>
  <si>
    <t>TZIQ045</t>
  </si>
  <si>
    <t>T_Iraqw-1</t>
  </si>
  <si>
    <t>Iraqw</t>
  </si>
  <si>
    <t>Seloto</t>
  </si>
  <si>
    <t>LP6005519-DNA_E12</t>
  </si>
  <si>
    <t>TZIQ065</t>
  </si>
  <si>
    <t>T_Iraqw-2</t>
  </si>
  <si>
    <t>Mbuga Nyekundu</t>
  </si>
  <si>
    <t>LP6005519-DNA_C08</t>
  </si>
  <si>
    <t>CARKA005</t>
  </si>
  <si>
    <t>T_Kaba-1</t>
  </si>
  <si>
    <t>Kaba</t>
  </si>
  <si>
    <t>CentralAfricanRepublic</t>
  </si>
  <si>
    <t>Paoua</t>
  </si>
  <si>
    <t>LP6005519-DNA_D08</t>
  </si>
  <si>
    <t>CARKA030</t>
  </si>
  <si>
    <t>T_Kaba-2</t>
  </si>
  <si>
    <t>LP6005519-DNA_A11</t>
  </si>
  <si>
    <t>KEGK001</t>
  </si>
  <si>
    <t>T_Kikuyu-1</t>
  </si>
  <si>
    <t>Kikuyu</t>
  </si>
  <si>
    <t>Kamoi</t>
  </si>
  <si>
    <t>LP6005519-DNA_B11</t>
  </si>
  <si>
    <t>KEGK032</t>
  </si>
  <si>
    <t>T_Kikuyu-2</t>
  </si>
  <si>
    <t>Mariashoni</t>
  </si>
  <si>
    <t>LP6005519-DNA_G08</t>
  </si>
  <si>
    <t>CHLA001</t>
  </si>
  <si>
    <t>T_Laka-1</t>
  </si>
  <si>
    <t>Laka</t>
  </si>
  <si>
    <t>Bessao</t>
  </si>
  <si>
    <t>LP6005677-DNA_E04</t>
  </si>
  <si>
    <t>CHLA074</t>
  </si>
  <si>
    <t>T_Laka-2</t>
  </si>
  <si>
    <t>LP6005519-DNA_A08</t>
  </si>
  <si>
    <t>CAMD042</t>
  </si>
  <si>
    <t>T_Mada-1</t>
  </si>
  <si>
    <t>Mada</t>
  </si>
  <si>
    <t>Mayo-Uldeme</t>
  </si>
  <si>
    <t>LP6005519-DNA_B08</t>
  </si>
  <si>
    <t>CAMD045</t>
  </si>
  <si>
    <t>T_Mada-2</t>
  </si>
  <si>
    <t>LP6005519-DNA_A10</t>
  </si>
  <si>
    <t>ETMS008</t>
  </si>
  <si>
    <t>T_Mursi-1</t>
  </si>
  <si>
    <t>Mursi</t>
  </si>
  <si>
    <t>Haile Wuha</t>
  </si>
  <si>
    <t>LP6005519-DNA_B10</t>
  </si>
  <si>
    <t>ETMS033</t>
  </si>
  <si>
    <t>T_Mursi-2</t>
  </si>
  <si>
    <t>LP6005519-DNA_E10</t>
  </si>
  <si>
    <t>CANG014</t>
  </si>
  <si>
    <t>T_Ngumba-1</t>
  </si>
  <si>
    <t>Ngumba</t>
  </si>
  <si>
    <t>Lambi</t>
  </si>
  <si>
    <t>LP6005519-DNA_F10</t>
  </si>
  <si>
    <t>CANG007</t>
  </si>
  <si>
    <t>T_Ngumba-2</t>
  </si>
  <si>
    <t>LP6005519-DNA_C11</t>
  </si>
  <si>
    <t>KEOG013</t>
  </si>
  <si>
    <t>T_Ogiek-1</t>
  </si>
  <si>
    <t>Ogiek</t>
  </si>
  <si>
    <t>LP6005519-DNA_D11</t>
  </si>
  <si>
    <t>KEOG015</t>
  </si>
  <si>
    <t>T_Ogiek-2</t>
  </si>
  <si>
    <t>LP6005519-DNA_E11</t>
  </si>
  <si>
    <t>KERD022</t>
  </si>
  <si>
    <t>T_Rendille-1</t>
  </si>
  <si>
    <t>Rendille</t>
  </si>
  <si>
    <t>Kargi</t>
  </si>
  <si>
    <t>LP6005519-DNA_F11</t>
  </si>
  <si>
    <t>KERD016</t>
  </si>
  <si>
    <t>T_Rendille-2</t>
  </si>
  <si>
    <t>LP6005519-DNA_H12</t>
  </si>
  <si>
    <t>Sandawe026</t>
  </si>
  <si>
    <t>TZSW131</t>
  </si>
  <si>
    <t>T_Sandawe-1</t>
  </si>
  <si>
    <t>Sandawe</t>
  </si>
  <si>
    <t>Motto</t>
  </si>
  <si>
    <t>LP6005519-DNA_G12</t>
  </si>
  <si>
    <t>TZSW057</t>
  </si>
  <si>
    <t>T_Sandawe-2</t>
  </si>
  <si>
    <t>LP6005519-DNA_G11</t>
  </si>
  <si>
    <t>KESN014</t>
  </si>
  <si>
    <t>T_Sengwer-1</t>
  </si>
  <si>
    <t>Sengwer</t>
  </si>
  <si>
    <t>LP6005519-DNA_H11</t>
  </si>
  <si>
    <t>KESN030</t>
  </si>
  <si>
    <t>T_Sengwer-2</t>
  </si>
  <si>
    <t>LP6005519-DNA_C10</t>
  </si>
  <si>
    <t>CATS023</t>
  </si>
  <si>
    <t>T_Tikar_South-1</t>
  </si>
  <si>
    <t>Tikar_South</t>
  </si>
  <si>
    <t>LP6005519-DNA_D10</t>
  </si>
  <si>
    <t>CATS005</t>
  </si>
  <si>
    <t>T_Tikar_South-2</t>
  </si>
  <si>
    <t>Ngoume</t>
  </si>
  <si>
    <t># 1-n</t>
  </si>
  <si>
    <t>2-ena_id</t>
  </si>
  <si>
    <t>3-Illumina_ID</t>
  </si>
  <si>
    <t>4-reich_id</t>
  </si>
  <si>
    <t>5-ena_ftp_bam_ptr</t>
  </si>
  <si>
    <t>6-Sequencing_Panel</t>
  </si>
  <si>
    <t>7-Gender</t>
  </si>
  <si>
    <t>8-Population_ID</t>
  </si>
  <si>
    <t>9-Contributor</t>
  </si>
  <si>
    <t>10-Region</t>
  </si>
  <si>
    <t>11-Country</t>
  </si>
  <si>
    <t>12-Town</t>
  </si>
  <si>
    <t>13-Latitude</t>
  </si>
  <si>
    <t>14-Longitude</t>
  </si>
  <si>
    <t>15-DNA_Source</t>
  </si>
  <si>
    <t>16-BioSamples Accession</t>
  </si>
  <si>
    <t>17-Embargo</t>
  </si>
  <si>
    <t>SAMEA3302859</t>
  </si>
  <si>
    <t>ftp.sra.ebi.ac.uk/vol1/ERZ324/ERZ324295/LP6005443-DNA_B06.srt.aln.bam</t>
  </si>
  <si>
    <t>SAMEA3302837</t>
  </si>
  <si>
    <t>ftp.sra.ebi.ac.uk/vol1/ERZ125/ERZ125657/srt.aln.bam</t>
  </si>
  <si>
    <t>SAMEA3302616</t>
  </si>
  <si>
    <t>ftp.sra.ebi.ac.uk/vol1/ERZ324/ERZ324870/LP6005441-DNA_D07.srt.aln.bam</t>
  </si>
  <si>
    <t>SAMEA3302771</t>
  </si>
  <si>
    <t>ftp.sra.ebi.ac.uk/vol1/ERZ312/ERZ312785/LP6005441-DNA_C07.srt.aln.bam</t>
  </si>
  <si>
    <t>SAMEA3302647</t>
  </si>
  <si>
    <t>ftp.sra.ebi.ac.uk/vol1/ERZ324/ERZ324275/LP6005442-DNA_G11.srt.aln.bam</t>
  </si>
  <si>
    <t>SAMEA3302748</t>
  </si>
  <si>
    <t>ftp.sra.ebi.ac.uk/vol1/ERZ324/ERZ324282/LP6005442-DNA_H11.srt.aln.bam</t>
  </si>
  <si>
    <t>SAMEA3302764</t>
  </si>
  <si>
    <t>ftp.sra.ebi.ac.uk/vol1/ERZ324/ERZ324267/LP6005442-DNA_F12.srt.aln.bam</t>
  </si>
  <si>
    <t>Rem Sukernik / Stanislav Dryomov</t>
  </si>
  <si>
    <t>Artybash and Kebezen, Altai-Sayan Upland</t>
  </si>
  <si>
    <t>SAMEA3302781</t>
  </si>
  <si>
    <t>ftp.sra.ebi.ac.uk/vol1/ERZ324/ERZ324260/LP6005442-DNA_E12.srt.aln.bam</t>
  </si>
  <si>
    <t>SAMEA3302703</t>
  </si>
  <si>
    <t>ftp.sra.ebi.ac.uk/vol1/ERZ324/ERZ324276/LP6005442-DNA_G12.srt.aln.bam</t>
  </si>
  <si>
    <t>Bogorodskoe, Lower Amur</t>
  </si>
  <si>
    <t>SAMEA3302862</t>
  </si>
  <si>
    <t>ftp.sra.ebi.ac.uk/vol1/ERZ324/ERZ324283/LP6005442-DNA_H12.srt.aln.bam</t>
  </si>
  <si>
    <t>Nizhniy Gavan, Lower Amur</t>
  </si>
  <si>
    <t>SAMEA3302655</t>
  </si>
  <si>
    <t>ftp.sra.ebi.ac.uk/vol1/ERZ312/ERZ312844/LP6005442-DNA_C02.srt.aln.bam</t>
  </si>
  <si>
    <t>SAMEA3302693</t>
  </si>
  <si>
    <t>ftp.sra.ebi.ac.uk/vol1/ERZ312/ERZ312765/LP6005442-DNA_D02.srt.aln.bam</t>
  </si>
  <si>
    <t>SAMEA3302905</t>
  </si>
  <si>
    <t>ftp.sra.ebi.ac.uk/vol1/ERZ324/ERZ324378/LP6005592-DNA_B02.srt.aln.bam</t>
  </si>
  <si>
    <t>SAMEA3302731</t>
  </si>
  <si>
    <t>ftp.sra.ebi.ac.uk/vol1/ERZ312/ERZ312801/LP6005441-DNA_E05.srt.aln.bam</t>
  </si>
  <si>
    <t>SAMEA3302749</t>
  </si>
  <si>
    <t>ftp.sra.ebi.ac.uk/vol1/ERZ312/ERZ312809/LP6005441-DNA_F05.srt.aln.bam</t>
  </si>
  <si>
    <t>SAMEA3302675</t>
  </si>
  <si>
    <t>ftp.sra.ebi.ac.uk/vol1/ERZ324/ERZ324263/LP6005442-DNA_F04.srt.aln.bam</t>
  </si>
  <si>
    <t>SAMEA3302729</t>
  </si>
  <si>
    <t>ftp.sra.ebi.ac.uk/vol1/ERZ125/ERZ125661/srt.aln.bam</t>
  </si>
  <si>
    <t>SAMEA3302887</t>
  </si>
  <si>
    <t>ftp.sra.ebi.ac.uk/vol1/ERZ324/ERZ324393/LP6005592-DNA_G03.srt.aln.bam</t>
  </si>
  <si>
    <t>SAMEA3302743</t>
  </si>
  <si>
    <t>ftp.sra.ebi.ac.uk/vol1/ERZ312/ERZ312812/LP6005441-DNA_F08.srt.aln.bam</t>
  </si>
  <si>
    <t>SAMEA3302653</t>
  </si>
  <si>
    <t>ftp.sra.ebi.ac.uk/vol1/ERZ312/ERZ312804/LP6005441-DNA_E08.srt.aln.bam</t>
  </si>
  <si>
    <t>SAMEA3302828</t>
  </si>
  <si>
    <t>ftp.sra.ebi.ac.uk/vol1/ERZ312/ERZ312777/LP6005441-DNA_B05.srt.aln.bam</t>
  </si>
  <si>
    <t>SAMEA3302635</t>
  </si>
  <si>
    <t>ftp.sra.ebi.ac.uk/vol1/ERZ324/ERZ324869/LP6005441-DNA_A05.srt.aln.bam</t>
  </si>
  <si>
    <t>SAMEA3302618</t>
  </si>
  <si>
    <t>ftp.sra.ebi.ac.uk/vol1/ERZ324/ERZ324341/LP6005443-DNA_G11.srt.aln.bam</t>
  </si>
  <si>
    <t>SAMEA3302811</t>
  </si>
  <si>
    <t>ftp.sra.ebi.ac.uk/vol1/ERZ324/ERZ324348/LP6005443-DNA_H11.srt.aln.bam</t>
  </si>
  <si>
    <t>SAMEA3302615</t>
  </si>
  <si>
    <t>ftp.sra.ebi.ac.uk/vol1/ERZ324/ERZ324268/LP6005442-DNA_G01.srt.aln.bam</t>
  </si>
  <si>
    <t>SAMEA3302697</t>
  </si>
  <si>
    <t>ftp.sra.ebi.ac.uk/vol1/ERZ324/ERZ324540/SS6004479.srt.aln.bam</t>
  </si>
  <si>
    <t>Tmazulapan, Mixe</t>
  </si>
  <si>
    <t>SAMEA3302893</t>
  </si>
  <si>
    <t>ftp.sra.ebi.ac.uk/vol1/ERZ312/ERZ312805/LP6005441-DNA_E09.srt.aln.bam</t>
  </si>
  <si>
    <t>SAMEA3302614</t>
  </si>
  <si>
    <t>ftp.sra.ebi.ac.uk/vol1/ERZ312/ERZ312813/LP6005441-DNA_F09.srt.aln.bam</t>
  </si>
  <si>
    <t>SAMEA3302695</t>
  </si>
  <si>
    <t>ftp.sra.ebi.ac.uk/vol1/ERZ312/ERZ312807/LP6005441-DNA_F02.srt.aln.bam</t>
  </si>
  <si>
    <t>SAMEA3302823</t>
  </si>
  <si>
    <t>ftp.sra.ebi.ac.uk/vol1/ERZ312/ERZ312799/LP6005441-DNA_E02.srt.aln.bam</t>
  </si>
  <si>
    <t>SAMEA3302741</t>
  </si>
  <si>
    <t>ftp.sra.ebi.ac.uk/vol1/ERZ324/ERZ324273/LP6005442-DNA_G09.srt.aln.bam</t>
  </si>
  <si>
    <t>SAMEA3302774</t>
  </si>
  <si>
    <t>ftp.sra.ebi.ac.uk/vol1/ERZ324/ERZ324280/LP6005442-DNA_H09.srt.aln.bam</t>
  </si>
  <si>
    <t>SAMEA3302762</t>
  </si>
  <si>
    <t>ftp.sra.ebi.ac.uk/vol1/ERZ324/ERZ324328/LP6005443-DNA_F04.srt.aln.bam</t>
  </si>
  <si>
    <t>Rem Sukernik / Stanislav Dryomov / Elena Starikovskaya</t>
  </si>
  <si>
    <t>Sos'va river, Western Siberia</t>
  </si>
  <si>
    <t>SAMEA3302654</t>
  </si>
  <si>
    <t>ftp.sra.ebi.ac.uk/vol1/ERZ324/ERZ324337/LP6005443-DNA_G04.srt.aln.bam</t>
  </si>
  <si>
    <t>Shugur, Western Siberia</t>
  </si>
  <si>
    <t>SAMEA3302627</t>
  </si>
  <si>
    <t>ftp.sra.ebi.ac.uk/vol1/ERZ312/ERZ312814/LP6005441-DNA_F10.srt.aln.bam</t>
  </si>
  <si>
    <t>SAMEA3302779</t>
  </si>
  <si>
    <t>ftp.sra.ebi.ac.uk/vol1/ERZ312/ERZ312806/LP6005441-DNA_E10.srt.aln.bam</t>
  </si>
  <si>
    <t>SAMEA3302646</t>
  </si>
  <si>
    <t>ftp.sra.ebi.ac.uk/vol1/ERZ312/ERZ312822/LP6005441-DNA_G09.srt.aln.bam</t>
  </si>
  <si>
    <t>SAMEA3302897</t>
  </si>
  <si>
    <t>ftp.sra.ebi.ac.uk/vol1/ERZ312/ERZ312830/LP6005441-DNA_H09.srt.aln.bam</t>
  </si>
  <si>
    <t>SAMEA3302652</t>
  </si>
  <si>
    <t>ftp.sra.ebi.ac.uk/vol1/ERZ324/ERZ324379/LP6005592-DNA_B03.srt.aln.bam</t>
  </si>
  <si>
    <t>SAMEA3302858</t>
  </si>
  <si>
    <t>ftp.sra.ebi.ac.uk/vol1/ERZ324/ERZ324340/LP6005443-DNA_G08.srt.aln.bam</t>
  </si>
  <si>
    <t>SAMEA3302900</t>
  </si>
  <si>
    <t>ftp.sra.ebi.ac.uk/vol1/run/ERR101/ERR1019075/LP6005441-DNA_B11.bam</t>
  </si>
  <si>
    <t>SAMEA3302682</t>
  </si>
  <si>
    <t>ftp.sra.ebi.ac.uk/vol1/ERZ312/ERZ312772/LP6005441-DNA_A11.srt.aln.bam</t>
  </si>
  <si>
    <t>SAMEA3302668</t>
  </si>
  <si>
    <t>ftp.sra.ebi.ac.uk/vol1/ERZ324/ERZ324347/LP6005443-DNA_H08.srt.aln.bam</t>
  </si>
  <si>
    <t>SAMEA3302792</t>
  </si>
  <si>
    <t>ftp.sra.ebi.ac.uk/vol1/ERZ324/ERZ324298/LP6005443-DNA_B09.srt.aln.bam</t>
  </si>
  <si>
    <t>SAMEA3449879</t>
  </si>
  <si>
    <t>ftp.sra.ebi.ac.uk/vol1/ERZ324/ERZ324377/LP6005592-DNA_B01.srt.aln.bam</t>
  </si>
  <si>
    <t>SAMEA3302689</t>
  </si>
  <si>
    <t>ftp.sra.ebi.ac.uk/vol1/ERZ312/ERZ312816/LP6005441-DNA_G03.srt.aln.bam</t>
  </si>
  <si>
    <t>SAMEA3302791</t>
  </si>
  <si>
    <t>ftp.sra.ebi.ac.uk/vol1/ERZ312/ERZ312825/LP6005441-DNA_H03.srt.aln.bam</t>
  </si>
  <si>
    <t>SAMEA3302676</t>
  </si>
  <si>
    <t>ftp.sra.ebi.ac.uk/vol1/ERZ324/ERZ324265/LP6005442-DNA_F10.srt.aln.bam</t>
  </si>
  <si>
    <t>SAMEA3302707</t>
  </si>
  <si>
    <t>ftp.sra.ebi.ac.uk/vol1/ERZ125/ERZ125663/srt.aln.bam</t>
  </si>
  <si>
    <t>SAMEA3302821</t>
  </si>
  <si>
    <t>ftp.sra.ebi.ac.uk/vol1/ERZ324/ERZ324364/LP6005519-DNA_E04.srt.aln.bam</t>
  </si>
  <si>
    <t>SAMEA3302788</t>
  </si>
  <si>
    <t>ftp.sra.ebi.ac.uk/vol1/ERZ324/ERZ324368/LP6005519-DNA_F04.srt.aln.bam</t>
  </si>
  <si>
    <t>SAMEA3302714</t>
  </si>
  <si>
    <t>ftp.sra.ebi.ac.uk/vol1/ERZ324/ERZ324350/LP6005519-DNA_A05.srt.aln.bam</t>
  </si>
  <si>
    <t>SAMEA3302767</t>
  </si>
  <si>
    <t>ftp.sra.ebi.ac.uk/vol1/ERZ324/ERZ324353/LP6005519-DNA_B05.srt.aln.bam</t>
  </si>
  <si>
    <t>SAMEA3302851</t>
  </si>
  <si>
    <t>ftp.sra.ebi.ac.uk/vol1/ERZ324/ERZ324385/LP6005592-DNA_D01.srt.aln.bam</t>
  </si>
  <si>
    <t>SAMEA3302875</t>
  </si>
  <si>
    <t>ftp.sra.ebi.ac.uk/vol1/ERZ324/ERZ324381/LP6005592-DNA_C01.srt.aln.bam</t>
  </si>
  <si>
    <t>SAMEA3302844</t>
  </si>
  <si>
    <t>ftp.sra.ebi.ac.uk/vol1/ERZ324/ERZ324345/LP6005443-DNA_H05.srt.aln.bam</t>
  </si>
  <si>
    <t>SAMEA3302713</t>
  </si>
  <si>
    <t>ftp.sra.ebi.ac.uk/vol1/ERZ312/ERZ312795/LP6005441-DNA_D09.srt.aln.bam</t>
  </si>
  <si>
    <t>SAMEA3302667</t>
  </si>
  <si>
    <t>ftp.sra.ebi.ac.uk/vol1/ERZ312/ERZ312787/LP6005441-DNA_C09.srt.aln.bam</t>
  </si>
  <si>
    <t>SAMEA3302640</t>
  </si>
  <si>
    <t>ftp.sra.ebi.ac.uk/vol1/ERZ312/ERZ312842/LP6005442-DNA_B11.srt.aln.bam</t>
  </si>
  <si>
    <t>SAMEA3302883</t>
  </si>
  <si>
    <t>ftp.sra.ebi.ac.uk/vol1/ERZ125/ERZ125639/srt.aln.bam</t>
  </si>
  <si>
    <t>SAMEA3302861</t>
  </si>
  <si>
    <t>ftp.sra.ebi.ac.uk/vol1/ERZ324/ERZ324365/LP6005519-DNA_E05.srt.aln.bam</t>
  </si>
  <si>
    <t>SAMEA3302784</t>
  </si>
  <si>
    <t>ftp.sra.ebi.ac.uk/vol1/ERZ324/ERZ324359/LP6005519-DNA_D01.srt.aln.bam</t>
  </si>
  <si>
    <t>Andres Ruiz-Linares / Claudio M. Bravi</t>
  </si>
  <si>
    <t xml:space="preserve">Salta (province), Tartagal (city) </t>
  </si>
  <si>
    <t>SAMEA3302838</t>
  </si>
  <si>
    <t>ftp.sra.ebi.ac.uk/vol1/ERZ312/ERZ312833/LP6005442-DNA_A04.srt.aln.bam</t>
  </si>
  <si>
    <t>SAMEA3302808</t>
  </si>
  <si>
    <t>ftp.sra.ebi.ac.uk/vol1/ERZ125/ERZ125644/srt.aln.bam</t>
  </si>
  <si>
    <t>SAMEA3302884</t>
  </si>
  <si>
    <t>ftp.sra.ebi.ac.uk/vol1/ERZ125/ERZ125658/srt.aln.bam</t>
  </si>
  <si>
    <t>SAMEA3302902</t>
  </si>
  <si>
    <t>ftp.sra.ebi.ac.uk/vol1/ERZ324/ERZ324537/SS6004476.srt.aln.bam</t>
  </si>
  <si>
    <t>SAMEA3302877</t>
  </si>
  <si>
    <t>ftp.sra.ebi.ac.uk/vol1/ERZ324/ERZ324535/SS6004469.srt.aln.bam</t>
  </si>
  <si>
    <t>SAMEA3302624</t>
  </si>
  <si>
    <t>ftp.sra.ebi.ac.uk/vol1/ERZ324/ERZ324269/LP6005442-DNA_G02.srt.aln.bam</t>
  </si>
  <si>
    <t>SAMEA3302672</t>
  </si>
  <si>
    <t>ftp.sra.ebi.ac.uk/vol1/ERZ324/ERZ324367/LP6005519-DNA_F03.srt.aln.bam</t>
  </si>
  <si>
    <t>SAMEA3302901</t>
  </si>
  <si>
    <t>ftp.sra.ebi.ac.uk/vol1/ERZ324/ERZ324355/LP6005519-DNA_C03.srt.aln.bam</t>
  </si>
  <si>
    <t>SAMEA3302691</t>
  </si>
  <si>
    <t>ftp.sra.ebi.ac.uk/vol1/ERZ324/ERZ324360/LP6005519-DNA_D03.srt.aln.bam</t>
  </si>
  <si>
    <t>SAMEA3302831</t>
  </si>
  <si>
    <t>ftp.sra.ebi.ac.uk/vol1/ERZ324/ERZ324327/LP6005443-DNA_F03.srt.aln.bam</t>
  </si>
  <si>
    <t>Naukan, Chukchi Peninsula</t>
  </si>
  <si>
    <t>SAMEA3302840</t>
  </si>
  <si>
    <t>ftp.sra.ebi.ac.uk/vol1/ERZ329/ERZ329670/LP6005441-DNA_F04.srt.aln.bam</t>
  </si>
  <si>
    <t>SAMEA3302612</t>
  </si>
  <si>
    <t>ftp.sra.ebi.ac.uk/vol1/ERZ324/ERZ324299/LP6005443-DNA_B10.srt.aln.bam</t>
  </si>
  <si>
    <t>SAMEA3302874</t>
  </si>
  <si>
    <t>ftp.sra.ebi.ac.uk/vol1/ERZ312/ERZ312845/LP6005442-DNA_C04.srt.aln.bam</t>
  </si>
  <si>
    <t>SAMEA3302715</t>
  </si>
  <si>
    <t>ftp.sra.ebi.ac.uk/vol1/ERZ324/ERZ324391/LP6005592-DNA_F03.srt.aln.bam</t>
  </si>
  <si>
    <t>Djigda, Eastern Siberia</t>
  </si>
  <si>
    <t>SAMEA3302720</t>
  </si>
  <si>
    <t>ftp.sra.ebi.ac.uk/vol1/ERZ324/ERZ324294/LP6005443-DNA_B04.srt.aln.bam</t>
  </si>
  <si>
    <t>SAMEA3302752</t>
  </si>
  <si>
    <t>ftp.sra.ebi.ac.uk/vol1/ERZ324/ERZ324302/LP6005443-DNA_C04.srt.aln.bam</t>
  </si>
  <si>
    <t>SAMEA3302688</t>
  </si>
  <si>
    <t>ftp.sra.ebi.ac.uk/vol1/ERZ324/ERZ324369/LP6005519-DNA_F06.srt.aln.bam</t>
  </si>
  <si>
    <t>SAMEA3302759</t>
  </si>
  <si>
    <t>ftp.sra.ebi.ac.uk/vol1/ERZ324/ERZ324366/LP6005519-DNA_E06.srt.aln.bam</t>
  </si>
  <si>
    <t>Lamunin, Tutong District</t>
  </si>
  <si>
    <t>SAMEA3302802</t>
  </si>
  <si>
    <t>ftp.sra.ebi.ac.uk/vol1/ERZ324/ERZ324308/LP6005443-DNA_D02.srt.aln.bam</t>
  </si>
  <si>
    <t>SAMEA3302869</t>
  </si>
  <si>
    <t>ftp.sra.ebi.ac.uk/vol1/run/ERR101/ERR1019043/LP6005441-DNA_F01.bam</t>
  </si>
  <si>
    <t>SAMEA3302727</t>
  </si>
  <si>
    <t>ftp.sra.ebi.ac.uk/vol1/ERZ324/ERZ324317/LP6005443-DNA_E02.srt.aln.bam</t>
  </si>
  <si>
    <t>SAMEA3302841</t>
  </si>
  <si>
    <t>ftp.sra.ebi.ac.uk/vol1/ERZ312/ERZ312775/LP6005441-DNA_B03.srt.aln.bam</t>
  </si>
  <si>
    <t>SAMEA3302636</t>
  </si>
  <si>
    <t>ftp.sra.ebi.ac.uk/vol1/ERZ312/ERZ312768/LP6005441-DNA_A03.srt.aln.bam</t>
  </si>
  <si>
    <t>SAMEA3302891</t>
  </si>
  <si>
    <t>ftp.sra.ebi.ac.uk/vol1/ERZ324/ERZ324303/LP6005443-DNA_C06.srt.aln.bam</t>
  </si>
  <si>
    <t>SAMEA3302745</t>
  </si>
  <si>
    <t>ftp.sra.ebi.ac.uk/vol1/ERZ125/ERZ125662/srt.aln.bam</t>
  </si>
  <si>
    <t>SAMEA3302651</t>
  </si>
  <si>
    <t>ftp.sra.ebi.ac.uk/vol1/ERZ324/ERZ324375/LP6005592-DNA_A02.srt.aln.bam</t>
  </si>
  <si>
    <t>SAMEA3302751</t>
  </si>
  <si>
    <t>ftp.sra.ebi.ac.uk/vol1/ERZ312/ERZ312846/LP6005442-DNA_C10.srt.aln.bam</t>
  </si>
  <si>
    <t>SAMEA3302711</t>
  </si>
  <si>
    <t>ftp.sra.ebi.ac.uk/vol1/ERZ125/ERZ125659/srt.aln.bam</t>
  </si>
  <si>
    <t>SAMEA3302659</t>
  </si>
  <si>
    <t>ftp.sra.ebi.ac.uk/vol1/ERZ324/ERZ324875/LP6005441-DNA_A08.srt.aln.bam</t>
  </si>
  <si>
    <t>SAMEA3302634</t>
  </si>
  <si>
    <t>ftp.sra.ebi.ac.uk/vol1/ERZ324/ERZ324394/LP6005592-DNA_H01.srt.aln.bam</t>
  </si>
  <si>
    <t>SAMEA3302769</t>
  </si>
  <si>
    <t>ftp.sra.ebi.ac.uk/vol1/ERZ324/ERZ324383/LP6005592-DNA_C03.srt.aln.bam</t>
  </si>
  <si>
    <t>SAMEA3302796</t>
  </si>
  <si>
    <t>ftp.sra.ebi.ac.uk/vol1/ERZ324/ERZ324324/LP6005443-DNA_E11.srt.aln.bam</t>
  </si>
  <si>
    <t>SAMEA3302723</t>
  </si>
  <si>
    <t>ftp.sra.ebi.ac.uk/vol1/ERZ324/ERZ324333/LP6005443-DNA_F11.srt.aln.bam</t>
  </si>
  <si>
    <t>Tamazulapan, Mixe</t>
  </si>
  <si>
    <t>SAMEA3302761</t>
  </si>
  <si>
    <t>ftp.sra.ebi.ac.uk/vol1/ERZ312/ERZ312810/LP6005441-DNA_F06.srt.aln.bam</t>
  </si>
  <si>
    <t>SAMEA3302754</t>
  </si>
  <si>
    <t>ftp.sra.ebi.ac.uk/vol1/ERZ312/ERZ312802/LP6005441-DNA_E06.srt.aln.bam</t>
  </si>
  <si>
    <t>SAMEA3302699</t>
  </si>
  <si>
    <t>ftp.sra.ebi.ac.uk/vol1/ERZ324/ERZ324389/LP6005592-DNA_E02.srt.aln.bam</t>
  </si>
  <si>
    <t>SAMEA3302746</t>
  </si>
  <si>
    <t>ftp.sra.ebi.ac.uk/vol1/ERZ324/ERZ324321/LP6005443-DNA_E08.srt.aln.bam</t>
  </si>
  <si>
    <t>SAMEA3302793</t>
  </si>
  <si>
    <t>ftp.sra.ebi.ac.uk/vol1/ERZ324/ERZ324277/LP6005442-DNA_H01.srt.aln.bam</t>
  </si>
  <si>
    <t>SAMEA3302772</t>
  </si>
  <si>
    <t>ftp.sra.ebi.ac.uk/vol1/ERZ324/ERZ324297/LP6005443-DNA_B08.srt.aln.bam</t>
  </si>
  <si>
    <t>SAMEA3302643</t>
  </si>
  <si>
    <t>ftp.sra.ebi.ac.uk/vol1/ERZ324/ERZ324304/LP6005443-DNA_C07.srt.aln.bam</t>
  </si>
  <si>
    <t>SAMEA3302622</t>
  </si>
  <si>
    <t>ftp.sra.ebi.ac.uk/vol1/ERZ324/ERZ324339/LP6005443-DNA_G07.srt.aln.bam</t>
  </si>
  <si>
    <t>SAMEA3302700</t>
  </si>
  <si>
    <t>ftp.sra.ebi.ac.uk/vol1/ERZ324/ERZ324314/LP6005443-DNA_D08.srt.aln.bam</t>
  </si>
  <si>
    <t>SAMEA3302797</t>
  </si>
  <si>
    <t>ftp.sra.ebi.ac.uk/vol1/ERZ324/ERZ324323/LP6005443-DNA_E10.srt.aln.bam</t>
  </si>
  <si>
    <t>Vladikavkaz in Republic of North Ossetia_Alania</t>
  </si>
  <si>
    <t>SAMEA3302698</t>
  </si>
  <si>
    <t>ftp.sra.ebi.ac.uk/vol1/ERZ324/ERZ324332/LP6005443-DNA_F10.srt.aln.bam</t>
  </si>
  <si>
    <t>SAMEA3302843</t>
  </si>
  <si>
    <t>ftp.sra.ebi.ac.uk/vol1/ERZ324/ERZ324271/LP6005442-DNA_G04.srt.aln.bam</t>
  </si>
  <si>
    <t>SAMEA3302664</t>
  </si>
  <si>
    <t>ftp.sra.ebi.ac.uk/vol1/ERZ324/ERZ324279/LP6005442-DNA_H04.srt.aln.bam</t>
  </si>
  <si>
    <t>SAMEA3449878</t>
  </si>
  <si>
    <t>ftp.sra.ebi.ac.uk/vol1/ERZ325/ERZ325059/LP6005443-DNA_C01.srt.aln.bam</t>
  </si>
  <si>
    <t>SAMEA3302856</t>
  </si>
  <si>
    <t>ftp.sra.ebi.ac.uk/vol1/ERZ324/ERZ324336/LP6005443-DNA_G03.srt.aln.bam</t>
  </si>
  <si>
    <t>Big Diomide Island, Chukchi Peninsula</t>
  </si>
  <si>
    <t>SAMEA3302778</t>
  </si>
  <si>
    <t>ftp.sra.ebi.ac.uk/vol1/ERZ324/ERZ324312/LP6005443-DNA_D06.srt.aln.bam</t>
  </si>
  <si>
    <t>SAMEA3302804</t>
  </si>
  <si>
    <t>ftp.sra.ebi.ac.uk/vol1/ERZ312/ERZ312783/LP6005441-DNA_C05.srt.aln.bam</t>
  </si>
  <si>
    <t>SAMEA3302770</t>
  </si>
  <si>
    <t>ftp.sra.ebi.ac.uk/vol1/ERZ312/ERZ312793/LP6005441-DNA_D05.srt.aln.bam</t>
  </si>
  <si>
    <t>SAMEA3302824</t>
  </si>
  <si>
    <t>ftp.sra.ebi.ac.uk/vol1/ERZ324/ERZ324874/LP6005441-DNA_D12.srt.aln.bam</t>
  </si>
  <si>
    <t>SAMEA3302909</t>
  </si>
  <si>
    <t>ftp.sra.ebi.ac.uk/vol1/ERZ324/ERZ324342/LP6005443-DNA_H01.srt.aln.bam</t>
  </si>
  <si>
    <t>SAMEA3302671</t>
  </si>
  <si>
    <t>ftp.sra.ebi.ac.uk/vol1/ERZ324/ERZ324305/LP6005443-DNA_C08.srt.aln.bam</t>
  </si>
  <si>
    <t>SAMEA3302704</t>
  </si>
  <si>
    <t>ftp.sra.ebi.ac.uk/vol1/ERZ324/ERZ324330/LP6005443-DNA_F07.srt.aln.bam</t>
  </si>
  <si>
    <t>SAMEA3302626</t>
  </si>
  <si>
    <t>ftp.sra.ebi.ac.uk/vol1/ERZ324/ERZ324320/LP6005443-DNA_E07.srt.aln.bam</t>
  </si>
  <si>
    <t>SAMEA3302657</t>
  </si>
  <si>
    <t>ftp.sra.ebi.ac.uk/vol1/ERZ324/ERZ324313/LP6005443-DNA_D07.srt.aln.bam</t>
  </si>
  <si>
    <t>SAMEA3302871</t>
  </si>
  <si>
    <t>ftp.sra.ebi.ac.uk/vol1/ERZ324/ERZ324346/LP6005443-DNA_H07.srt.aln.bam</t>
  </si>
  <si>
    <t>SAMEA3302892</t>
  </si>
  <si>
    <t>ftp.sra.ebi.ac.uk/vol1/ERZ312/ERZ312771/LP6005441-DNA_A10.srt.aln.bam</t>
  </si>
  <si>
    <t>SAMEA3302738</t>
  </si>
  <si>
    <t>ftp.sra.ebi.ac.uk/vol1/ERZ324/ERZ324876/LP6005441-DNA_B10.srt.aln.bam</t>
  </si>
  <si>
    <t>SAMEA3302726</t>
  </si>
  <si>
    <t>ftp.sra.ebi.ac.uk/vol1/ERZ324/ERZ324289/LP6005443-DNA_A08.srt.aln.bam</t>
  </si>
  <si>
    <t>SAMEA3302806</t>
  </si>
  <si>
    <t>ftp.sra.ebi.ac.uk/vol1/ERZ324/ERZ324310/LP6005443-DNA_D04.srt.aln.bam</t>
  </si>
  <si>
    <t>Kovran, Kamchatka</t>
  </si>
  <si>
    <t>SAMEA3302611</t>
  </si>
  <si>
    <t>ftp.sra.ebi.ac.uk/vol1/ERZ312/ERZ312837/LP6005442-DNA_B01.srt.aln.bam</t>
  </si>
  <si>
    <t>SAMEA3302818</t>
  </si>
  <si>
    <t>ftp.sra.ebi.ac.uk/vol1/ERZ324/ERZ324292/LP6005443-DNA_B02.srt.aln.bam</t>
  </si>
  <si>
    <t>SAMEA3302757</t>
  </si>
  <si>
    <t>ftp.sra.ebi.ac.uk/vol1/ERZ324/ERZ324403/LP6005677-DNA_D01.srt.aln.bam</t>
  </si>
  <si>
    <t>SAMEA3302744</t>
  </si>
  <si>
    <t>ftp.sra.ebi.ac.uk/vol1/ERZ324/ERZ324290/LP6005443-DNA_A12.srt.aln.bam</t>
  </si>
  <si>
    <t>SAMEA3302619</t>
  </si>
  <si>
    <t>ftp.sra.ebi.ac.uk/vol1/run/ERR101/ERR1019066/LP6005441-DNA_A04.bam</t>
  </si>
  <si>
    <t>SAMEA3302669</t>
  </si>
  <si>
    <t>ftp.sra.ebi.ac.uk/vol1/ERZ312/ERZ312776/LP6005441-DNA_B04.srt.aln.bam</t>
  </si>
  <si>
    <t>SAMEA3302853</t>
  </si>
  <si>
    <t>ftp.sra.ebi.ac.uk/vol1/ERZ324/ERZ324318/LP6005443-DNA_E05.srt.aln.bam</t>
  </si>
  <si>
    <t>Petropavlovsk-Kamchatski, Commander Islands</t>
  </si>
  <si>
    <t>SAMEA3302889</t>
  </si>
  <si>
    <t>ftp.sra.ebi.ac.uk/vol1/ERZ324/ERZ324311/LP6005443-DNA_D05.srt.aln.bam</t>
  </si>
  <si>
    <t>Nikolskoye, Commander Islands</t>
  </si>
  <si>
    <t>SAMEA3302721</t>
  </si>
  <si>
    <t>ftp.sra.ebi.ac.uk/vol1/ERZ324/ERZ324331/LP6005443-DNA_F08.srt.aln.bam</t>
  </si>
  <si>
    <t>SAMEA3302816</t>
  </si>
  <si>
    <t>ftp.sra.ebi.ac.uk/vol1/ERZ125/ERZ125613/srt.aln.bam</t>
  </si>
  <si>
    <t>SAMEA3302673</t>
  </si>
  <si>
    <t>ftp.sra.ebi.ac.uk/vol1/ERZ125/ERZ125624/srt.aln.bam</t>
  </si>
  <si>
    <t>SAMEA3302817</t>
  </si>
  <si>
    <t>ftp.sra.ebi.ac.uk/vol1/ERZ324/ERZ324325/LP6005443-DNA_F01.srt.aln.bam</t>
  </si>
  <si>
    <t>SAMEA3302739</t>
  </si>
  <si>
    <t>ftp.sra.ebi.ac.uk/vol1/ERZ324/ERZ324307/LP6005443-DNA_D01.srt.aln.bam</t>
  </si>
  <si>
    <t>SAMEA3302870</t>
  </si>
  <si>
    <t>ftp.sra.ebi.ac.uk/vol1/ERZ312/ERZ312817/LP6005441-DNA_G04.srt.aln.bam</t>
  </si>
  <si>
    <t>SAMEA3302876</t>
  </si>
  <si>
    <t>ftp.sra.ebi.ac.uk/vol1/ERZ324/ERZ324542/SS6004474.srt.aln.bam</t>
  </si>
  <si>
    <t>SAMEA3302722</t>
  </si>
  <si>
    <t>ftp.sra.ebi.ac.uk/vol1/ERZ125/ERZ125651/srt.aln.bam</t>
  </si>
  <si>
    <t>SAMEA3302623</t>
  </si>
  <si>
    <t>ftp.sra.ebi.ac.uk/vol1/ERZ324/ERZ324338/LP6005443-DNA_G05.srt.aln.bam</t>
  </si>
  <si>
    <t>SAMEA3302666</t>
  </si>
  <si>
    <t>ftp.sra.ebi.ac.uk/vol1/ERZ324/ERZ324532/SS6004467.srt.aln.bam</t>
  </si>
  <si>
    <t>SAMEA3302873</t>
  </si>
  <si>
    <t>ftp.sra.ebi.ac.uk/vol1/ERZ324/ERZ324266/LP6005442-DNA_F11.srt.aln.bam</t>
  </si>
  <si>
    <t>SAMEA3449876</t>
  </si>
  <si>
    <t>ftp.sra.ebi.ac.uk/vol1/ERZ312/ERZ312769/LP6005441-DNA_A06.srt.aln.bam</t>
  </si>
  <si>
    <t>SAMEA3302855</t>
  </si>
  <si>
    <t>ftp.sra.ebi.ac.uk/vol1/ERZ312/ERZ312778/LP6005441-DNA_B06.srt.aln.bam</t>
  </si>
  <si>
    <t>SAMEA3302633</t>
  </si>
  <si>
    <t>ftp.sra.ebi.ac.uk/vol1/ERZ324/ERZ324349/LP6005519-DNA_A04.srt.aln.bam</t>
  </si>
  <si>
    <t>SAMEA3302839</t>
  </si>
  <si>
    <t>ftp.sra.ebi.ac.uk/vol1/ERZ324/ERZ324352/LP6005519-DNA_B04.srt.aln.bam</t>
  </si>
  <si>
    <t>SAMEA3302758</t>
  </si>
  <si>
    <t>ftp.sra.ebi.ac.uk/vol1/ERZ125/ERZ125623/srt.aln.bam</t>
  </si>
  <si>
    <t>SAMEA3302620</t>
  </si>
  <si>
    <t>ftp.sra.ebi.ac.uk/vol1/ERZ312/ERZ312781/LP6005441-DNA_B09.srt.aln.bam</t>
  </si>
  <si>
    <t>SAMEA3302776</t>
  </si>
  <si>
    <t>LP6005441-DNA_A09</t>
  </si>
  <si>
    <t>S_Naxi-2</t>
  </si>
  <si>
    <t>ftp.sra.ebi.ac.uk/vol1/ERZ312/ERZ312770/LP6005441-DNA_A09.srt.aln.bam</t>
  </si>
  <si>
    <t>SAMEA3302888</t>
  </si>
  <si>
    <t>ftp.sra.ebi.ac.uk/vol1/ERZ324/ERZ324322/LP6005443-DNA_E09.srt.aln.bam</t>
  </si>
  <si>
    <t>SAMEA3302632</t>
  </si>
  <si>
    <t>ftp.sra.ebi.ac.uk/vol1/ERZ312/ERZ312832/LP6005442-DNA_A02.srt.aln.bam</t>
  </si>
  <si>
    <t>SAMEA3302835</t>
  </si>
  <si>
    <t>ftp.sra.ebi.ac.uk/vol1/ERZ312/ERZ312838/LP6005442-DNA_B02.srt.aln.bam</t>
  </si>
  <si>
    <t>SAMEA3302865</t>
  </si>
  <si>
    <t>ftp.sra.ebi.ac.uk/vol1/ERZ312/ERZ312773/LP6005441-DNA_A12.srt.aln.bam</t>
  </si>
  <si>
    <t>SAMEA3302830</t>
  </si>
  <si>
    <t>ftp.sra.ebi.ac.uk/vol1/ERZ324/ERZ324873/LP6005441-DNA_B12.srt.aln.bam</t>
  </si>
  <si>
    <t>SAMEA3302630</t>
  </si>
  <si>
    <t>ftp.sra.ebi.ac.uk/vol1/ERZ324/ERZ324335/LP6005443-DNA_G02.srt.aln.bam</t>
  </si>
  <si>
    <t>SAMEA3302849</t>
  </si>
  <si>
    <t>ftp.sra.ebi.ac.uk/vol1/ERZ324/ERZ324326/LP6005443-DNA_F02.srt.aln.bam</t>
  </si>
  <si>
    <t>SAMEA3302706</t>
  </si>
  <si>
    <t>ftp.sra.ebi.ac.uk/vol1/ERZ324/ERZ324261/LP6005442-DNA_F01.srt.aln.bam</t>
  </si>
  <si>
    <t>SAMEA3302842</t>
  </si>
  <si>
    <t>ftp.sra.ebi.ac.uk/vol1/ERZ312/ERZ312839/LP6005442-DNA_B03.srt.aln.bam</t>
  </si>
  <si>
    <t>SAMEA3302718</t>
  </si>
  <si>
    <t>ftp.sra.ebi.ac.uk/vol1/ERZ125/ERZ125635/srt.aln.bam</t>
  </si>
  <si>
    <t>SAMEA3302742</t>
  </si>
  <si>
    <t>ftp.sra.ebi.ac.uk/vol1/ERZ324/ERZ324362/LP6005519-DNA_D05.srt.aln.bam</t>
  </si>
  <si>
    <t>SAMEA3302610</t>
  </si>
  <si>
    <t>ftp.sra.ebi.ac.uk/vol1/ERZ324/ERZ324357/LP6005519-DNA_C05.srt.aln.bam</t>
  </si>
  <si>
    <t>SAMEA3302795</t>
  </si>
  <si>
    <t>ftp.sra.ebi.ac.uk/vol1/ERZ312/ERZ312808/LP6005441-DNA_F03.srt.aln.bam</t>
  </si>
  <si>
    <t>SAMEA3302798</t>
  </si>
  <si>
    <t>ftp.sra.ebi.ac.uk/vol1/ERZ312/ERZ312800/LP6005441-DNA_E03.srt.aln.bam</t>
  </si>
  <si>
    <t>SAMEA3302787</t>
  </si>
  <si>
    <t>ftp.sra.ebi.ac.uk/vol1/ERZ324/ERZ324334/LP6005443-DNA_G01.srt.aln.bam</t>
  </si>
  <si>
    <t>SAMEA3302780</t>
  </si>
  <si>
    <t>ftp.sra.ebi.ac.uk/vol1/ERZ324/ERZ324400/LP6005677-DNA_B01.srt.aln.bam</t>
  </si>
  <si>
    <t>SAMEA3302880</t>
  </si>
  <si>
    <t>ftp.sra.ebi.ac.uk/vol1/ERZ312/ERZ312818/LP6005441-DNA_G05.srt.aln.bam</t>
  </si>
  <si>
    <t>SAMEA3302845</t>
  </si>
  <si>
    <t>ftp.sra.ebi.ac.uk/vol1/ERZ312/ERZ312826/LP6005441-DNA_H05.srt.aln.bam</t>
  </si>
  <si>
    <t>SAMEA3302822</t>
  </si>
  <si>
    <t>ftp.sra.ebi.ac.uk/vol1/ERZ324/ERZ324872/LP6005441-DNA_C11.srt.aln.bam</t>
  </si>
  <si>
    <t>SAMEA3302813</t>
  </si>
  <si>
    <t>ftp.sra.ebi.ac.uk/vol1/ERZ312/ERZ312797/LP6005441-DNA_D11.srt.aln.bam</t>
  </si>
  <si>
    <t>SAMEA3302812</t>
  </si>
  <si>
    <t>ftp.sra.ebi.ac.uk/vol1/ERZ312/ERZ312847/LP6005442-DNA_C11.srt.aln.bam</t>
  </si>
  <si>
    <t>SAMEA3302613</t>
  </si>
  <si>
    <t>ftp.sra.ebi.ac.uk/vol1/ERZ125/ERZ125660/srt.aln.bam</t>
  </si>
  <si>
    <t>SAMEA3302631</t>
  </si>
  <si>
    <t>ftp.sra.ebi.ac.uk/vol1/ERZ324/ERZ324274/LP6005442-DNA_G10.srt.aln.bam</t>
  </si>
  <si>
    <t>SAMEA3302886</t>
  </si>
  <si>
    <t>ftp.sra.ebi.ac.uk/vol1/ERZ324/ERZ324281/LP6005442-DNA_H10.srt.aln.bam</t>
  </si>
  <si>
    <t>SAMEA3302733</t>
  </si>
  <si>
    <t>ftp.sra.ebi.ac.uk/vol1/ERZ324/ERZ324533/SS6004480.srt.aln.bam</t>
  </si>
  <si>
    <t>SAMEA3302712</t>
  </si>
  <si>
    <t>ftp.sra.ebi.ac.uk/vol1/ERZ324/ERZ324534/SS6004468.srt.aln.bam</t>
  </si>
  <si>
    <t>SAMEA3302728</t>
  </si>
  <si>
    <t>ftp.sra.ebi.ac.uk/vol1/ERZ312/ERZ312774/LP6005441-DNA_B01.srt.aln.bam</t>
  </si>
  <si>
    <t>SAMEA3302656</t>
  </si>
  <si>
    <t>ftp.sra.ebi.ac.uk/vol1/ERZ312/ERZ312767/LP6005441-DNA_A01.srt.aln.bam</t>
  </si>
  <si>
    <t>SAMEA3302694</t>
  </si>
  <si>
    <t>ftp.sra.ebi.ac.uk/vol1/ERZ324/ERZ324397/LP6005619-DNA_C01.srt.aln.bam</t>
  </si>
  <si>
    <t>SAMEA3302857</t>
  </si>
  <si>
    <t>ftp.sra.ebi.ac.uk/vol1/ERZ324/ERZ324396/LP6005619-DNA_B01.srt.aln.bam</t>
  </si>
  <si>
    <t>SAMEA3302820</t>
  </si>
  <si>
    <t>ftp.sra.ebi.ac.uk/vol1/ERZ125/ERZ125656/srt.aln.bam</t>
  </si>
  <si>
    <t>SAMEA3302826</t>
  </si>
  <si>
    <t>ftp.sra.ebi.ac.uk/vol1/ERZ324/ERZ324296/LP6005443-DNA_B07.srt.aln.bam</t>
  </si>
  <si>
    <t>SAMEA3302663</t>
  </si>
  <si>
    <t>ftp.sra.ebi.ac.uk/vol1/ERZ324/ERZ324288/LP6005443-DNA_A07.srt.aln.bam</t>
  </si>
  <si>
    <t>SAMEA3302894</t>
  </si>
  <si>
    <t>ftp.sra.ebi.ac.uk/vol1/ERZ324/ERZ324536/SS6004473.srt.aln.bam</t>
  </si>
  <si>
    <t>SAMEA3302890</t>
  </si>
  <si>
    <t>ftp.sra.ebi.ac.uk/vol1/ERZ312/ERZ312789/LP6005441-DNA_D01.srt.aln.bam</t>
  </si>
  <si>
    <t>SAMEA3449877</t>
  </si>
  <si>
    <t>ftp.sra.ebi.ac.uk/vol1/ERZ324/ERZ324867/LP6005441-DNA_C01.srt.aln.bam</t>
  </si>
  <si>
    <t>SAMEA3302819</t>
  </si>
  <si>
    <t>ftp.sra.ebi.ac.uk/vol1/ERZ324/ERZ324306/LP6005443-DNA_C09.srt.aln.bam</t>
  </si>
  <si>
    <t>Aashish R. Jha / George van Driem / Irene Gallego Romero</t>
  </si>
  <si>
    <t>Ghorahi, Dang</t>
  </si>
  <si>
    <t>SAMEA3302867</t>
  </si>
  <si>
    <t>ftp.sra.ebi.ac.uk/vol1/ERZ312/ERZ312784/LP6005441-DNA_C06.srt.aln.bam</t>
  </si>
  <si>
    <t>SAMEA3302906</t>
  </si>
  <si>
    <t>ftp.sra.ebi.ac.uk/vol1/ERZ312/ERZ312794/LP6005441-DNA_D06.srt.aln.bam</t>
  </si>
  <si>
    <t>SAMEA3302852</t>
  </si>
  <si>
    <t>ftp.sra.ebi.ac.uk/vol1/ERZ324/ERZ324382/LP6005592-DNA_C02.srt.aln.bam</t>
  </si>
  <si>
    <t>SAMEA3302677</t>
  </si>
  <si>
    <t>ftp.sra.ebi.ac.uk/vol1/ERZ325/ERZ325062/LP6005441-DNA_C03.srt.aln.bam</t>
  </si>
  <si>
    <t>SAMEA3302782</t>
  </si>
  <si>
    <t>ftp.sra.ebi.ac.uk/vol1/ERZ312/ERZ312791/LP6005441-DNA_D03.srt.aln.bam</t>
  </si>
  <si>
    <t>SAMEA3302724</t>
  </si>
  <si>
    <t>ftp.sra.ebi.ac.uk/vol1/ERZ324/ERZ324358/LP6005519-DNA_C06.srt.aln.bam</t>
  </si>
  <si>
    <t>Mountain Province, Luzon Island (sampled in Singapore)</t>
  </si>
  <si>
    <t>SAMEA3302696</t>
  </si>
  <si>
    <t>ftp.sra.ebi.ac.uk/vol1/ERZ324/ERZ324363/LP6005519-DNA_D06.srt.aln.bam</t>
  </si>
  <si>
    <t>SAMEA3302645</t>
  </si>
  <si>
    <t>ftp.sra.ebi.ac.uk/vol1/ERZ324/ERZ324373/LP6005519-DNA_H03.srt.aln.bam</t>
  </si>
  <si>
    <t>SAMEA3302829</t>
  </si>
  <si>
    <t>ftp.sra.ebi.ac.uk/vol1/ERZ324/ERZ324371/LP6005519-DNA_G03.srt.aln.bam</t>
  </si>
  <si>
    <t>SAMEA3302904</t>
  </si>
  <si>
    <t>ftp.sra.ebi.ac.uk/vol1/ERZ312/ERZ312828/LP6005441-DNA_H07.srt.aln.bam</t>
  </si>
  <si>
    <t>SAMEA3302866</t>
  </si>
  <si>
    <t>ftp.sra.ebi.ac.uk/vol1/ERZ312/ERZ312820/LP6005441-DNA_G07.srt.aln.bam</t>
  </si>
  <si>
    <t>SAMEA3302650</t>
  </si>
  <si>
    <t>ftp.sra.ebi.ac.uk/vol1/ERZ324/ERZ324541/SS6004472.srt.aln.bam</t>
  </si>
  <si>
    <t>SAMEA3302911</t>
  </si>
  <si>
    <t>ftp.sra.ebi.ac.uk/vol1/ERZ324/ERZ324315/LP6005443-DNA_D09.srt.aln.bam</t>
  </si>
  <si>
    <t>Damauli, Tanahu</t>
  </si>
  <si>
    <t>SAMEA3302705</t>
  </si>
  <si>
    <t>ftp.sra.ebi.ac.uk/vol1/ERZ324/ERZ324388/LP6005592-DNA_E01.srt.aln.bam</t>
  </si>
  <si>
    <t>SAMEA3302747</t>
  </si>
  <si>
    <t>ftp.sra.ebi.ac.uk/vol1/ERZ324/ERZ324390/LP6005592-DNA_F01.srt.aln.bam</t>
  </si>
  <si>
    <t>SAMEA3302736</t>
  </si>
  <si>
    <t>ftp.sra.ebi.ac.uk/vol1/ERZ324/ERZ324538/SS6004470.srt.aln.bam</t>
  </si>
  <si>
    <t>SAMEA3302753</t>
  </si>
  <si>
    <t>ftp.sra.ebi.ac.uk/vol1/ERZ324/ERZ324262/LP6005442-DNA_F02.srt.aln.bam</t>
  </si>
  <si>
    <t>Mait Metspalu / Olga Posukh</t>
  </si>
  <si>
    <t>Tenga, Ongudaisky district, Altai Republic</t>
  </si>
  <si>
    <t>SAMEA3302665</t>
  </si>
  <si>
    <t>ftp.sra.ebi.ac.uk/vol1/ERZ312/ERZ312815/LP6005441-DNA_F12.srt.aln.bam</t>
  </si>
  <si>
    <t>SAMEA3302687</t>
  </si>
  <si>
    <t>ftp.sra.ebi.ac.uk/vol1/ERZ324/ERZ324319/LP6005443-DNA_E06.srt.aln.bam</t>
  </si>
  <si>
    <t>SAMEA3302814</t>
  </si>
  <si>
    <t>ftp.sra.ebi.ac.uk/vol1/ERZ324/ERZ324329/LP6005443-DNA_F06.srt.aln.bam</t>
  </si>
  <si>
    <t>SAMEA3302827</t>
  </si>
  <si>
    <t>ftp.sra.ebi.ac.uk/vol1/ERZ324/ERZ324386/LP6005592-DNA_D03.srt.aln.bam</t>
  </si>
  <si>
    <t>SAMEA3302864</t>
  </si>
  <si>
    <t>ftp.sra.ebi.ac.uk/vol1/ERZ324/ERZ324291/LP6005443-DNA_B01.srt.aln.bam</t>
  </si>
  <si>
    <t>SAMEA3302785</t>
  </si>
  <si>
    <t>ftp.sra.ebi.ac.uk/vol1/ERZ312/ERZ312792/LP6005441-DNA_D04.srt.aln.bam</t>
  </si>
  <si>
    <t>SAMEA3302903</t>
  </si>
  <si>
    <t>ftp.sra.ebi.ac.uk/vol1/ERZ312/ERZ312790/LP6005441-DNA_D02.srt.aln.bam</t>
  </si>
  <si>
    <t>SAMEA3302621</t>
  </si>
  <si>
    <t>ftp.sra.ebi.ac.uk/vol1/ERZ312/ERZ312782/LP6005441-DNA_C02.srt.aln.bam</t>
  </si>
  <si>
    <t>SAMEA3302768</t>
  </si>
  <si>
    <t>ftp.sra.ebi.ac.uk/vol1/ERZ324/ERZ324398/LP6005677-DNA_A02.srt.aln.bam</t>
  </si>
  <si>
    <t>SAMEA3302717</t>
  </si>
  <si>
    <t>ftp.sra.ebi.ac.uk/vol1/ERZ324/ERZ324401/LP6005677-DNA_B02.srt.aln.bam</t>
  </si>
  <si>
    <t>SAMEA3302649</t>
  </si>
  <si>
    <t>ftp.sra.ebi.ac.uk/vol1/ERZ312/ERZ312834/LP6005442-DNA_A08.srt.aln.bam</t>
  </si>
  <si>
    <t>SAMEA3302678</t>
  </si>
  <si>
    <t>ftp.sra.ebi.ac.uk/vol1/ERZ312/ERZ312840/LP6005442-DNA_B08.srt.aln.bam</t>
  </si>
  <si>
    <t>SAMEA3302809</t>
  </si>
  <si>
    <t>ftp.sra.ebi.ac.uk/vol1/ERZ324/ERZ324399/LP6005677-DNA_A03.srt.aln.bam</t>
  </si>
  <si>
    <t>SAMEA3302750</t>
  </si>
  <si>
    <t>ftp.sra.ebi.ac.uk/vol1/ERZ324/ERZ324402/LP6005677-DNA_C03.srt.aln.bam</t>
  </si>
  <si>
    <t>SAMEA3302756</t>
  </si>
  <si>
    <t>ftp.sra.ebi.ac.uk/vol1/ERZ312/ERZ312803/LP6005441-DNA_E07.srt.aln.bam</t>
  </si>
  <si>
    <t>SAMEA3302850</t>
  </si>
  <si>
    <t>ftp.sra.ebi.ac.uk/vol1/ERZ312/ERZ312811/LP6005441-DNA_F07.srt.aln.bam</t>
  </si>
  <si>
    <t>SAMEA3302834</t>
  </si>
  <si>
    <t>ftp.sra.ebi.ac.uk/vol1/ERZ324/ERZ324372/LP6005519-DNA_G04.srt.aln.bam</t>
  </si>
  <si>
    <t>SAMEA3302803</t>
  </si>
  <si>
    <t>ftp.sra.ebi.ac.uk/vol1/ERZ324/ERZ324374/LP6005519-DNA_H04.srt.aln.bam</t>
  </si>
  <si>
    <t>SAMEA3302670</t>
  </si>
  <si>
    <t>ftp.sra.ebi.ac.uk/vol1/ERZ324/ERZ324293/LP6005443-DNA_B03.srt.aln.bam</t>
  </si>
  <si>
    <t>Sireniki, Chukchi Peninsula</t>
  </si>
  <si>
    <t>SAMEA3302641</t>
  </si>
  <si>
    <t>ftp.sra.ebi.ac.uk/vol1/ERZ324/ERZ324344/LP6005443-DNA_H03.srt.aln.bam</t>
  </si>
  <si>
    <t>SAMEA3302734</t>
  </si>
  <si>
    <t>ftp.sra.ebi.ac.uk/vol1/ERZ324/ERZ324301/LP6005443-DNA_C03.srt.aln.bam</t>
  </si>
  <si>
    <t>SAMEA3302708</t>
  </si>
  <si>
    <t>ftp.sra.ebi.ac.uk/vol1/ERZ324/ERZ324404/LP6005677-DNA_D03.srt.aln.bam</t>
  </si>
  <si>
    <t>Brenna Henn</t>
  </si>
  <si>
    <t>Andriesvale Northern Cape, South Africa</t>
  </si>
  <si>
    <t>SAMEA3302800</t>
  </si>
  <si>
    <t>ftp.sra.ebi.ac.uk/vol1/ERZ324/ERZ324384/LP6005592-DNA_C05.srt.aln.bam</t>
  </si>
  <si>
    <t>Andriesvale, Northern Cape, South Africa</t>
  </si>
  <si>
    <t>SAMEA3302735</t>
  </si>
  <si>
    <t>ftp.sra.ebi.ac.uk/vol1/ERZ324/ERZ324278/LP6005442-DNA_H03.srt.aln.bam</t>
  </si>
  <si>
    <t>SAMEA3302679</t>
  </si>
  <si>
    <t>ftp.sra.ebi.ac.uk/vol1/ERZ324/ERZ324270/LP6005442-DNA_G03.srt.aln.bam</t>
  </si>
  <si>
    <t>SAMEA3302725</t>
  </si>
  <si>
    <t>ftp.sra.ebi.ac.uk/vol1/ERZ324/ERZ324361/LP6005519-DNA_D04.srt.aln.bam</t>
  </si>
  <si>
    <t>SAMEA3302740</t>
  </si>
  <si>
    <t>ftp.sra.ebi.ac.uk/vol1/ERZ324/ERZ324356/LP6005519-DNA_C04.srt.aln.bam</t>
  </si>
  <si>
    <t>SAMEA3302639</t>
  </si>
  <si>
    <t>ftp.sra.ebi.ac.uk/vol1/ERZ312/ERZ312796/LP6005441-DNA_D10.srt.aln.bam</t>
  </si>
  <si>
    <t>SAMEA3302674</t>
  </si>
  <si>
    <t>ftp.sra.ebi.ac.uk/vol1/ERZ312/ERZ312788/LP6005441-DNA_C10.srt.aln.bam</t>
  </si>
  <si>
    <t>SAMEA3302628</t>
  </si>
  <si>
    <t>ftp.sra.ebi.ac.uk/vol1/ERZ312/ERZ312835/LP6005442-DNA_A10.srt.aln.bam</t>
  </si>
  <si>
    <t>SAMEA3302881</t>
  </si>
  <si>
    <t>ftp.sra.ebi.ac.uk/vol1/ERZ312/ERZ312841/LP6005442-DNA_B10.srt.aln.bam</t>
  </si>
  <si>
    <t>SAMEA3302765</t>
  </si>
  <si>
    <t>ftp.sra.ebi.ac.uk/vol1/ERZ329/ERZ329671/LP6007069-DNA_A01.srt.aln.bam</t>
  </si>
  <si>
    <t>George Stamatoyannopoulos</t>
  </si>
  <si>
    <t>Preveliana, Irakleioy</t>
  </si>
  <si>
    <t>SAMEA3302625</t>
  </si>
  <si>
    <t>ftp.sra.ebi.ac.uk/vol1/ERZ324/ERZ324531/LP6007068-DNA_A01.srt.aln.bam</t>
  </si>
  <si>
    <t>Psychro ,Lassithi</t>
  </si>
  <si>
    <t>SAMEA3302825</t>
  </si>
  <si>
    <t>ftp.sra.ebi.ac.uk/vol1/ERZ312/ERZ312821/LP6005441-DNA_G08.srt.aln.bam</t>
  </si>
  <si>
    <t>SAMEA3302836</t>
  </si>
  <si>
    <t>ftp.sra.ebi.ac.uk/vol1/ERZ312/ERZ312829/LP6005441-DNA_H08.srt.aln.bam</t>
  </si>
  <si>
    <t>SAMEA3302863</t>
  </si>
  <si>
    <t>ftp.sra.ebi.ac.uk/vol1/ERZ324/ERZ324387/LP6005592-DNA_D04.srt.aln.bam</t>
  </si>
  <si>
    <t>SAMEA3302777</t>
  </si>
  <si>
    <t>ftp.sra.ebi.ac.uk/vol1/ERZ324/ERZ324871/LP6005441-DNA_D08.srt.aln.bam</t>
  </si>
  <si>
    <t>SAMEA3302846</t>
  </si>
  <si>
    <t>ftp.sra.ebi.ac.uk/vol1/ERZ312/ERZ312786/LP6005441-DNA_C08.srt.aln.bam</t>
  </si>
  <si>
    <t>SAMEA3302737</t>
  </si>
  <si>
    <t>ftp.sra.ebi.ac.uk/vol1/ERZ324/ERZ324284/LP6005443-DNA_A01.srt.aln.bam</t>
  </si>
  <si>
    <t>SAMEA3302710</t>
  </si>
  <si>
    <t>ftp.sra.ebi.ac.uk/vol1/ERZ324/ERZ324868/LP6005441-DNA_B02.srt.aln.bam</t>
  </si>
  <si>
    <t>SAMEA3302799</t>
  </si>
  <si>
    <t>ftp.sra.ebi.ac.uk/vol1/ERZ324/ERZ324376/LP6005592-DNA_A04.srt.aln.bam</t>
  </si>
  <si>
    <t>SAMEA3302885</t>
  </si>
  <si>
    <t>ftp.sra.ebi.ac.uk/vol1/ERZ312/ERZ312843/LP6005442-DNA_B12.srt.aln.bam</t>
  </si>
  <si>
    <t>SAMEA3302789</t>
  </si>
  <si>
    <t>ftp.sra.ebi.ac.uk/vol1/ERZ312/ERZ312836/LP6005442-DNA_A12.srt.aln.bam</t>
  </si>
  <si>
    <t>SAMEA3302907</t>
  </si>
  <si>
    <t>ftp.sra.ebi.ac.uk/vol1/ERZ324/ERZ324380/LP6005592-DNA_B04.srt.aln.bam</t>
  </si>
  <si>
    <t>SAMEA3302732</t>
  </si>
  <si>
    <t>ftp.sra.ebi.ac.uk/vol1/ERZ324/ERZ324272/LP6005442-DNA_G07.srt.aln.bam</t>
  </si>
  <si>
    <t>SAMEA3302763</t>
  </si>
  <si>
    <t>ftp.sra.ebi.ac.uk/vol1/ERZ324/ERZ324287/LP6005443-DNA_A06.srt.aln.bam</t>
  </si>
  <si>
    <t>SAMEA3302730</t>
  </si>
  <si>
    <t>ftp.sra.ebi.ac.uk/vol1/ERZ324/ERZ324543/SS6004475.srt.aln.bam</t>
  </si>
  <si>
    <t>SAMEA3302815</t>
  </si>
  <si>
    <t>ftp.sra.ebi.ac.uk/vol1/ERZ312/ERZ312824/LP6005441-DNA_G11.srt.aln.bam</t>
  </si>
  <si>
    <t>SAMEA3302685</t>
  </si>
  <si>
    <t>ftp.sra.ebi.ac.uk/vol1/ERZ312/ERZ312831/LP6005441-DNA_H11.srt.aln.bam</t>
  </si>
  <si>
    <t>SAMEA3302642</t>
  </si>
  <si>
    <t>ftp.sra.ebi.ac.uk/vol1/ERZ324/ERZ324343/LP6005443-DNA_H02.srt.aln.bam</t>
  </si>
  <si>
    <t>SAMEA3302773</t>
  </si>
  <si>
    <t>ftp.sra.ebi.ac.uk/vol1/ERZ324/ERZ324286/LP6005443-DNA_A03.srt.aln.bam</t>
  </si>
  <si>
    <t>SAMEA3302755</t>
  </si>
  <si>
    <t>ftp.sra.ebi.ac.uk/vol1/ERZ312/ERZ312848/LP6005442-DNA_D01.srt.aln.bam</t>
  </si>
  <si>
    <t>SAMEA3302648</t>
  </si>
  <si>
    <t>ftp.sra.ebi.ac.uk/vol1/ERZ324/ERZ324300/LP6005443-DNA_C02.srt.aln.bam</t>
  </si>
  <si>
    <t>SAMEA3302660</t>
  </si>
  <si>
    <t>ftp.sra.ebi.ac.uk/vol1/ERZ324/ERZ324309/LP6005443-DNA_D03.srt.aln.bam</t>
  </si>
  <si>
    <t>New Chaplino, Chukchi Peninsula</t>
  </si>
  <si>
    <t>SAMEA3302833</t>
  </si>
  <si>
    <t>ftp.sra.ebi.ac.uk/vol1/ERZ324/ERZ324539/SS6004471.srt.aln.bam</t>
  </si>
  <si>
    <t>SAMEA3302719</t>
  </si>
  <si>
    <t>ftp.sra.ebi.ac.uk/vol1/ERZ324/ERZ324529/SS6004478.srt.aln.bam</t>
  </si>
  <si>
    <t>SAMEA3302681</t>
  </si>
  <si>
    <t>ftp.sra.ebi.ac.uk/vol1/ERZ324/ERZ324530/SS6004477.srt.aln.bam</t>
  </si>
  <si>
    <t>SAMEA3302684</t>
  </si>
  <si>
    <t>ftp.sra.ebi.ac.uk/vol1/ERZ125/ERZ125633/srt.aln.bam</t>
  </si>
  <si>
    <t>SAMEA3302854</t>
  </si>
  <si>
    <t>ftp.sra.ebi.ac.uk/vol1/ERZ324/ERZ324259/LP6005442-DNA_E11.srt.aln.bam</t>
  </si>
  <si>
    <t>SAMEA3302882</t>
  </si>
  <si>
    <t>ftp.sra.ebi.ac.uk/vol1/ERZ312/ERZ312779/LP6005441-DNA_B07.srt.aln.bam</t>
  </si>
  <si>
    <t>SAMEA3302832</t>
  </si>
  <si>
    <t>ftp.sra.ebi.ac.uk/vol1/ERZ324/ERZ324316/LP6005443-DNA_E01.srt.aln.bam</t>
  </si>
  <si>
    <t>SAMEA3302810</t>
  </si>
  <si>
    <t>ftp.sra.ebi.ac.uk/vol1/ERZ324/ERZ324264/LP6005442-DNA_F09.srt.aln.bam</t>
  </si>
  <si>
    <t>SAMEA3302868</t>
  </si>
  <si>
    <t>ftp.sra.ebi.ac.uk/vol1/ERZ324/ERZ324544/LP6005677-DNA_G01.srt.aln.bam</t>
  </si>
  <si>
    <t>SAMEA3302908</t>
  </si>
  <si>
    <t>ftp.sra.ebi.ac.uk/vol1/ERZ324/ERZ324395/LP6005592-DNA_H03.srt.aln.bam</t>
  </si>
  <si>
    <t>SAMEA3302848</t>
  </si>
  <si>
    <t>ftp.sra.ebi.ac.uk/vol1/ERZ324/ERZ324546/LP6005677-DNA_E01.srt.aln.bam</t>
  </si>
  <si>
    <t>SAMEA3302709</t>
  </si>
  <si>
    <t>ftp.sra.ebi.ac.uk/vol1/ERZ324/ERZ324370/LP6005519-DNA_G02.srt.aln.bam</t>
  </si>
  <si>
    <t>SAMEA3302878</t>
  </si>
  <si>
    <t>ftp.sra.ebi.ac.uk/vol1/ERZ324/ERZ324285/LP6005443-DNA_A02.srt.aln.bam</t>
  </si>
  <si>
    <t>SAMEA3302896</t>
  </si>
  <si>
    <t>ftp.sra.ebi.ac.uk/vol1/ERZ324/ERZ324545/LP6005677-DNA_F01.srt.aln.bam</t>
  </si>
  <si>
    <t>SAMEA3302786</t>
  </si>
  <si>
    <t>ftp.sra.ebi.ac.uk/vol1/ERZ312/ERZ312823/LP6005441-DNA_G10.srt.aln.bam</t>
  </si>
  <si>
    <t>SAMEA3302790</t>
  </si>
  <si>
    <t>ftp.sra.ebi.ac.uk/vol1/ERZ312/ERZ312819/LP6005441-DNA_G06.srt.aln.bam</t>
  </si>
  <si>
    <t>SAMEA3302662</t>
  </si>
  <si>
    <t>ftp.sra.ebi.ac.uk/vol1/ERZ312/ERZ312827/LP6005441-DNA_H06.srt.aln.bam</t>
  </si>
  <si>
    <t>SAMEA3302766</t>
  </si>
  <si>
    <t>ftp.sra.ebi.ac.uk/vol1/ERZ125/ERZ125631/srt.aln.bam</t>
  </si>
  <si>
    <t>SAMEA3302692</t>
  </si>
  <si>
    <t>ftp.sra.ebi.ac.uk/vol1/ERZ324/ERZ324351/LP6005519-DNA_A06.srt.aln.bam</t>
  </si>
  <si>
    <t>SAMEA3302895</t>
  </si>
  <si>
    <t>ftp.sra.ebi.ac.uk/vol1/ERZ324/ERZ324354/LP6005519-DNA_B06.srt.aln.bam</t>
  </si>
  <si>
    <t>SAMEA3302716</t>
  </si>
  <si>
    <t>ftp.sra.ebi.ac.uk/vol1/ERZ312/ERZ312780/LP6005441-DNA_B08.srt.aln.bam</t>
  </si>
  <si>
    <t>SAMEA3302807</t>
  </si>
  <si>
    <t>ftp.sra.ebi.ac.uk/vol1/ERZ324/ERZ324392/LP6005592-DNA_G01.srt.aln.bam</t>
  </si>
  <si>
    <t>SampleID</t>
  </si>
  <si>
    <t>BiosampleID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</si>
</sst>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9AFE-A0E8-4536-AEF2-38E0B9D29A17}">
  <dimension ref="A1:Q345"/>
  <sheetViews>
    <sheetView workbookViewId="0">
      <selection activeCell="B5" sqref="B5"/>
    </sheetView>
  </sheetViews>
  <sheetFormatPr baseColWidth="10" defaultRowHeight="14.4" x14ac:dyDescent="0.3"/>
  <cols>
    <col min="2" max="2" width="22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2062</v>
      </c>
    </row>
    <row r="2" spans="1:17" x14ac:dyDescent="0.3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-13</v>
      </c>
      <c r="M2">
        <v>143</v>
      </c>
      <c r="N2" t="s">
        <v>26</v>
      </c>
      <c r="O2" t="s">
        <v>27</v>
      </c>
      <c r="P2" t="s">
        <v>28</v>
      </c>
      <c r="Q2">
        <f>VLOOKUP(B2,Tabelle2!C:S,17,0)</f>
        <v>0</v>
      </c>
    </row>
    <row r="3" spans="1:17" x14ac:dyDescent="0.3">
      <c r="A3" t="s">
        <v>16</v>
      </c>
      <c r="B3" t="s">
        <v>29</v>
      </c>
      <c r="C3" t="s">
        <v>30</v>
      </c>
      <c r="D3" t="s">
        <v>30</v>
      </c>
      <c r="E3" t="s">
        <v>31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32</v>
      </c>
      <c r="L3">
        <v>-13</v>
      </c>
      <c r="M3">
        <v>143</v>
      </c>
      <c r="N3" t="s">
        <v>26</v>
      </c>
      <c r="O3" t="s">
        <v>27</v>
      </c>
      <c r="P3" t="s">
        <v>28</v>
      </c>
      <c r="Q3">
        <f>VLOOKUP(B3,Tabelle2!C:S,17,0)</f>
        <v>0</v>
      </c>
    </row>
    <row r="4" spans="1:17" x14ac:dyDescent="0.3">
      <c r="A4" t="s">
        <v>16</v>
      </c>
      <c r="B4" t="s">
        <v>33</v>
      </c>
      <c r="C4" t="s">
        <v>34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Q4">
        <f>VLOOKUP(B4,Tabelle2!C:S,17,0)</f>
        <v>0</v>
      </c>
    </row>
    <row r="5" spans="1:17" x14ac:dyDescent="0.3">
      <c r="A5" t="s">
        <v>16</v>
      </c>
      <c r="B5" t="s">
        <v>40</v>
      </c>
      <c r="C5" t="s">
        <v>41</v>
      </c>
      <c r="D5" t="s">
        <v>41</v>
      </c>
      <c r="E5" t="s">
        <v>42</v>
      </c>
      <c r="F5" t="s">
        <v>36</v>
      </c>
      <c r="G5" t="s">
        <v>37</v>
      </c>
      <c r="H5" t="s">
        <v>38</v>
      </c>
      <c r="I5" t="s">
        <v>43</v>
      </c>
      <c r="Q5">
        <f>VLOOKUP(B5,Tabelle2!C:S,17,0)</f>
        <v>0</v>
      </c>
    </row>
    <row r="6" spans="1:17" x14ac:dyDescent="0.3">
      <c r="A6" t="s">
        <v>16</v>
      </c>
      <c r="B6" t="s">
        <v>44</v>
      </c>
      <c r="C6" t="s">
        <v>45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32</v>
      </c>
      <c r="L6">
        <v>21</v>
      </c>
      <c r="M6">
        <v>100</v>
      </c>
      <c r="N6" t="s">
        <v>26</v>
      </c>
      <c r="O6" t="s">
        <v>27</v>
      </c>
      <c r="P6" t="s">
        <v>28</v>
      </c>
      <c r="Q6">
        <f>VLOOKUP(B6,Tabelle2!C:S,17,0)</f>
        <v>0</v>
      </c>
    </row>
    <row r="7" spans="1:17" x14ac:dyDescent="0.3">
      <c r="A7" t="s">
        <v>16</v>
      </c>
      <c r="B7" t="s">
        <v>52</v>
      </c>
      <c r="C7" t="s">
        <v>53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32</v>
      </c>
      <c r="L7">
        <v>8.7833333329999999</v>
      </c>
      <c r="M7">
        <v>27.4</v>
      </c>
      <c r="N7" t="s">
        <v>60</v>
      </c>
      <c r="O7" t="s">
        <v>27</v>
      </c>
      <c r="P7" t="s">
        <v>28</v>
      </c>
      <c r="Q7">
        <f>VLOOKUP(B7,Tabelle2!C:S,17,0)</f>
        <v>0</v>
      </c>
    </row>
    <row r="8" spans="1:17" x14ac:dyDescent="0.3">
      <c r="A8" t="s">
        <v>16</v>
      </c>
      <c r="B8" t="s">
        <v>61</v>
      </c>
      <c r="C8" t="s">
        <v>62</v>
      </c>
      <c r="D8" t="s">
        <v>62</v>
      </c>
      <c r="E8" t="s">
        <v>63</v>
      </c>
      <c r="F8" t="s">
        <v>64</v>
      </c>
      <c r="G8" t="s">
        <v>37</v>
      </c>
      <c r="H8" t="s">
        <v>65</v>
      </c>
      <c r="I8" t="s">
        <v>50</v>
      </c>
      <c r="J8" t="s">
        <v>51</v>
      </c>
      <c r="K8" t="s">
        <v>32</v>
      </c>
      <c r="L8">
        <v>46</v>
      </c>
      <c r="M8">
        <v>2</v>
      </c>
      <c r="N8" t="s">
        <v>26</v>
      </c>
      <c r="O8" t="s">
        <v>27</v>
      </c>
      <c r="P8" t="s">
        <v>28</v>
      </c>
      <c r="Q8">
        <f>VLOOKUP(B8,Tabelle2!C:S,17,0)</f>
        <v>0</v>
      </c>
    </row>
    <row r="9" spans="1:17" x14ac:dyDescent="0.3">
      <c r="A9" t="s">
        <v>16</v>
      </c>
      <c r="B9" t="s">
        <v>66</v>
      </c>
      <c r="C9" t="s">
        <v>67</v>
      </c>
      <c r="D9" t="s">
        <v>67</v>
      </c>
      <c r="E9" t="s">
        <v>68</v>
      </c>
      <c r="F9" t="s">
        <v>69</v>
      </c>
      <c r="G9" t="s">
        <v>48</v>
      </c>
      <c r="H9" t="s">
        <v>49</v>
      </c>
      <c r="I9" t="s">
        <v>50</v>
      </c>
      <c r="J9" t="s">
        <v>51</v>
      </c>
      <c r="K9" t="s">
        <v>32</v>
      </c>
      <c r="L9">
        <v>32.265668120000001</v>
      </c>
      <c r="M9">
        <v>114</v>
      </c>
      <c r="N9" t="s">
        <v>26</v>
      </c>
      <c r="O9" t="s">
        <v>27</v>
      </c>
      <c r="P9" t="s">
        <v>28</v>
      </c>
      <c r="Q9">
        <f>VLOOKUP(B9,Tabelle2!C:S,17,0)</f>
        <v>0</v>
      </c>
    </row>
    <row r="10" spans="1:17" x14ac:dyDescent="0.3">
      <c r="A10" t="s">
        <v>16</v>
      </c>
      <c r="B10" t="s">
        <v>70</v>
      </c>
      <c r="C10" t="s">
        <v>71</v>
      </c>
      <c r="D10" t="s">
        <v>71</v>
      </c>
      <c r="E10" t="s">
        <v>72</v>
      </c>
      <c r="F10" t="s">
        <v>73</v>
      </c>
      <c r="G10" t="s">
        <v>56</v>
      </c>
      <c r="H10" t="s">
        <v>74</v>
      </c>
      <c r="I10" t="s">
        <v>50</v>
      </c>
      <c r="J10" t="s">
        <v>51</v>
      </c>
      <c r="K10" t="s">
        <v>32</v>
      </c>
      <c r="L10">
        <v>-18.93725689</v>
      </c>
      <c r="M10">
        <v>21.452447639999999</v>
      </c>
      <c r="N10" t="s">
        <v>26</v>
      </c>
      <c r="O10" t="s">
        <v>27</v>
      </c>
      <c r="P10" t="s">
        <v>28</v>
      </c>
      <c r="Q10">
        <f>VLOOKUP(B10,Tabelle2!C:S,17,0)</f>
        <v>0</v>
      </c>
    </row>
    <row r="11" spans="1:17" x14ac:dyDescent="0.3">
      <c r="A11" t="s">
        <v>16</v>
      </c>
      <c r="B11" t="s">
        <v>75</v>
      </c>
      <c r="C11" t="s">
        <v>76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50</v>
      </c>
      <c r="J11" t="s">
        <v>51</v>
      </c>
      <c r="K11" t="s">
        <v>32</v>
      </c>
      <c r="L11">
        <v>-10</v>
      </c>
      <c r="M11">
        <v>-63</v>
      </c>
      <c r="N11" t="s">
        <v>26</v>
      </c>
      <c r="O11" t="s">
        <v>27</v>
      </c>
      <c r="P11" t="s">
        <v>28</v>
      </c>
      <c r="Q11">
        <f>VLOOKUP(B11,Tabelle2!C:S,17,0)</f>
        <v>0</v>
      </c>
    </row>
    <row r="12" spans="1:17" x14ac:dyDescent="0.3">
      <c r="A12" t="s">
        <v>16</v>
      </c>
      <c r="B12" t="s">
        <v>81</v>
      </c>
      <c r="C12" t="s">
        <v>82</v>
      </c>
      <c r="D12" t="s">
        <v>82</v>
      </c>
      <c r="E12" t="s">
        <v>83</v>
      </c>
      <c r="F12" t="s">
        <v>84</v>
      </c>
      <c r="G12" t="s">
        <v>56</v>
      </c>
      <c r="H12" t="s">
        <v>85</v>
      </c>
      <c r="I12" t="s">
        <v>50</v>
      </c>
      <c r="J12" t="s">
        <v>51</v>
      </c>
      <c r="K12" t="s">
        <v>32</v>
      </c>
      <c r="L12">
        <v>12</v>
      </c>
      <c r="M12">
        <v>-12</v>
      </c>
      <c r="N12" t="s">
        <v>26</v>
      </c>
      <c r="O12" t="s">
        <v>27</v>
      </c>
      <c r="P12" t="s">
        <v>28</v>
      </c>
      <c r="Q12">
        <f>VLOOKUP(B12,Tabelle2!C:S,17,0)</f>
        <v>0</v>
      </c>
    </row>
    <row r="13" spans="1:17" x14ac:dyDescent="0.3">
      <c r="A13" t="s">
        <v>16</v>
      </c>
      <c r="B13" t="s">
        <v>86</v>
      </c>
      <c r="C13" t="s">
        <v>87</v>
      </c>
      <c r="D13" t="s">
        <v>87</v>
      </c>
      <c r="E13" t="s">
        <v>88</v>
      </c>
      <c r="F13" t="s">
        <v>89</v>
      </c>
      <c r="G13" t="s">
        <v>56</v>
      </c>
      <c r="H13" t="s">
        <v>90</v>
      </c>
      <c r="I13" t="s">
        <v>50</v>
      </c>
      <c r="J13" t="s">
        <v>51</v>
      </c>
      <c r="K13" t="s">
        <v>32</v>
      </c>
      <c r="L13">
        <v>1</v>
      </c>
      <c r="M13">
        <v>29</v>
      </c>
      <c r="N13" t="s">
        <v>26</v>
      </c>
      <c r="O13" t="s">
        <v>27</v>
      </c>
      <c r="P13" t="s">
        <v>28</v>
      </c>
      <c r="Q13">
        <f>VLOOKUP(B13,Tabelle2!C:S,17,0)</f>
        <v>0</v>
      </c>
    </row>
    <row r="14" spans="1:17" x14ac:dyDescent="0.3">
      <c r="A14" t="s">
        <v>16</v>
      </c>
      <c r="B14" t="s">
        <v>91</v>
      </c>
      <c r="C14" t="s">
        <v>92</v>
      </c>
      <c r="D14" t="s">
        <v>92</v>
      </c>
      <c r="E14" t="s">
        <v>93</v>
      </c>
      <c r="F14" t="s">
        <v>94</v>
      </c>
      <c r="G14" t="s">
        <v>79</v>
      </c>
      <c r="H14" t="s">
        <v>95</v>
      </c>
      <c r="I14" t="s">
        <v>96</v>
      </c>
      <c r="Q14">
        <f>VLOOKUP(B14,Tabelle2!C:S,17,0)</f>
        <v>0</v>
      </c>
    </row>
    <row r="15" spans="1:17" x14ac:dyDescent="0.3">
      <c r="A15" t="s">
        <v>16</v>
      </c>
      <c r="B15" t="s">
        <v>97</v>
      </c>
      <c r="C15" t="s">
        <v>98</v>
      </c>
      <c r="D15" t="s">
        <v>98</v>
      </c>
      <c r="E15" t="s">
        <v>99</v>
      </c>
      <c r="F15" t="s">
        <v>100</v>
      </c>
      <c r="G15" t="s">
        <v>21</v>
      </c>
      <c r="H15" t="s">
        <v>101</v>
      </c>
      <c r="I15" t="s">
        <v>50</v>
      </c>
      <c r="J15" t="s">
        <v>51</v>
      </c>
      <c r="K15" t="s">
        <v>32</v>
      </c>
      <c r="L15">
        <v>-4</v>
      </c>
      <c r="M15">
        <v>143</v>
      </c>
      <c r="N15" t="s">
        <v>26</v>
      </c>
      <c r="O15" t="s">
        <v>27</v>
      </c>
      <c r="P15" t="s">
        <v>28</v>
      </c>
      <c r="Q15">
        <f>VLOOKUP(B15,Tabelle2!C:S,17,0)</f>
        <v>0</v>
      </c>
    </row>
    <row r="16" spans="1:17" x14ac:dyDescent="0.3">
      <c r="A16" t="s">
        <v>16</v>
      </c>
      <c r="B16" t="s">
        <v>102</v>
      </c>
      <c r="C16" t="s">
        <v>103</v>
      </c>
      <c r="D16" t="s">
        <v>103</v>
      </c>
      <c r="E16" t="s">
        <v>104</v>
      </c>
      <c r="F16" t="s">
        <v>105</v>
      </c>
      <c r="G16" t="s">
        <v>37</v>
      </c>
      <c r="H16" t="s">
        <v>106</v>
      </c>
      <c r="I16" t="s">
        <v>50</v>
      </c>
      <c r="J16" t="s">
        <v>51</v>
      </c>
      <c r="K16" t="s">
        <v>32</v>
      </c>
      <c r="L16">
        <v>40</v>
      </c>
      <c r="M16">
        <v>9</v>
      </c>
      <c r="N16" t="s">
        <v>26</v>
      </c>
      <c r="O16" t="s">
        <v>27</v>
      </c>
      <c r="P16" t="s">
        <v>28</v>
      </c>
      <c r="Q16">
        <f>VLOOKUP(B16,Tabelle2!C:S,17,0)</f>
        <v>0</v>
      </c>
    </row>
    <row r="17" spans="1:17" x14ac:dyDescent="0.3">
      <c r="A17" t="s">
        <v>16</v>
      </c>
      <c r="B17" t="s">
        <v>107</v>
      </c>
      <c r="C17" t="s">
        <v>108</v>
      </c>
      <c r="D17" t="s">
        <v>108</v>
      </c>
      <c r="E17" t="s">
        <v>109</v>
      </c>
      <c r="F17" t="s">
        <v>110</v>
      </c>
      <c r="G17" t="s">
        <v>56</v>
      </c>
      <c r="H17" t="s">
        <v>111</v>
      </c>
      <c r="I17" t="s">
        <v>50</v>
      </c>
      <c r="J17" t="s">
        <v>51</v>
      </c>
      <c r="K17" t="s">
        <v>32</v>
      </c>
      <c r="L17">
        <v>7.4</v>
      </c>
      <c r="M17">
        <v>3.9</v>
      </c>
      <c r="N17" t="s">
        <v>26</v>
      </c>
      <c r="O17" t="s">
        <v>27</v>
      </c>
      <c r="P17" t="s">
        <v>28</v>
      </c>
      <c r="Q17">
        <f>VLOOKUP(B17,Tabelle2!C:S,17,0)</f>
        <v>0</v>
      </c>
    </row>
    <row r="18" spans="1:17" x14ac:dyDescent="0.3">
      <c r="A18" t="s">
        <v>112</v>
      </c>
      <c r="B18" t="s">
        <v>113</v>
      </c>
      <c r="C18" t="s">
        <v>114</v>
      </c>
      <c r="D18" t="s">
        <v>114</v>
      </c>
      <c r="E18" t="s">
        <v>115</v>
      </c>
      <c r="F18" t="s">
        <v>116</v>
      </c>
      <c r="G18" t="s">
        <v>37</v>
      </c>
      <c r="H18" t="s">
        <v>117</v>
      </c>
      <c r="I18" t="s">
        <v>118</v>
      </c>
      <c r="J18" t="s">
        <v>119</v>
      </c>
      <c r="K18" t="s">
        <v>120</v>
      </c>
      <c r="L18">
        <v>41.3</v>
      </c>
      <c r="M18">
        <v>19.8</v>
      </c>
      <c r="N18" t="s">
        <v>121</v>
      </c>
      <c r="O18" t="s">
        <v>27</v>
      </c>
      <c r="P18" t="s">
        <v>28</v>
      </c>
      <c r="Q18">
        <f>VLOOKUP(B18,Tabelle2!C:S,17,0)</f>
        <v>0</v>
      </c>
    </row>
    <row r="19" spans="1:17" x14ac:dyDescent="0.3">
      <c r="A19" t="s">
        <v>112</v>
      </c>
      <c r="B19" t="s">
        <v>122</v>
      </c>
      <c r="C19" t="s">
        <v>123</v>
      </c>
      <c r="D19" t="s">
        <v>123</v>
      </c>
      <c r="E19" t="s">
        <v>124</v>
      </c>
      <c r="F19" t="s">
        <v>125</v>
      </c>
      <c r="G19" t="s">
        <v>126</v>
      </c>
      <c r="H19" t="s">
        <v>127</v>
      </c>
      <c r="I19" t="s">
        <v>128</v>
      </c>
      <c r="Q19">
        <f>VLOOKUP(B19,Tabelle2!C:S,17,0)</f>
        <v>0</v>
      </c>
    </row>
    <row r="20" spans="1:17" x14ac:dyDescent="0.3">
      <c r="A20" t="s">
        <v>112</v>
      </c>
      <c r="B20" t="s">
        <v>129</v>
      </c>
      <c r="C20" t="s">
        <v>130</v>
      </c>
      <c r="D20" t="s">
        <v>130</v>
      </c>
      <c r="E20" t="s">
        <v>131</v>
      </c>
      <c r="F20" t="s">
        <v>132</v>
      </c>
      <c r="G20" t="s">
        <v>48</v>
      </c>
      <c r="H20" t="s">
        <v>133</v>
      </c>
      <c r="I20" t="s">
        <v>23</v>
      </c>
      <c r="J20" t="s">
        <v>134</v>
      </c>
      <c r="K20" t="s">
        <v>32</v>
      </c>
      <c r="L20">
        <v>24.611712000000001</v>
      </c>
      <c r="M20">
        <v>121.29644399999999</v>
      </c>
      <c r="N20" t="s">
        <v>26</v>
      </c>
      <c r="O20" t="s">
        <v>27</v>
      </c>
      <c r="P20" t="s">
        <v>28</v>
      </c>
      <c r="Q20">
        <f>VLOOKUP(B20,Tabelle2!C:S,17,0)</f>
        <v>0</v>
      </c>
    </row>
    <row r="21" spans="1:17" x14ac:dyDescent="0.3">
      <c r="A21" t="s">
        <v>112</v>
      </c>
      <c r="B21" t="s">
        <v>135</v>
      </c>
      <c r="C21" t="s">
        <v>136</v>
      </c>
      <c r="D21" t="s">
        <v>136</v>
      </c>
      <c r="E21" t="s">
        <v>137</v>
      </c>
      <c r="F21" t="s">
        <v>138</v>
      </c>
      <c r="G21" t="s">
        <v>79</v>
      </c>
      <c r="H21" t="s">
        <v>139</v>
      </c>
      <c r="I21" t="s">
        <v>140</v>
      </c>
      <c r="Q21">
        <f>VLOOKUP(B21,Tabelle2!C:S,17,0)</f>
        <v>0</v>
      </c>
    </row>
    <row r="22" spans="1:17" x14ac:dyDescent="0.3">
      <c r="A22" t="s">
        <v>112</v>
      </c>
      <c r="B22" t="s">
        <v>141</v>
      </c>
      <c r="C22" t="s">
        <v>142</v>
      </c>
      <c r="D22" t="s">
        <v>142</v>
      </c>
      <c r="E22" t="s">
        <v>143</v>
      </c>
      <c r="F22" t="s">
        <v>144</v>
      </c>
      <c r="G22" t="s">
        <v>37</v>
      </c>
      <c r="H22" t="s">
        <v>127</v>
      </c>
      <c r="I22" t="s">
        <v>145</v>
      </c>
      <c r="J22" t="s">
        <v>146</v>
      </c>
      <c r="K22" t="s">
        <v>32</v>
      </c>
      <c r="L22">
        <v>43.332999999999998</v>
      </c>
      <c r="M22">
        <v>45.65</v>
      </c>
      <c r="N22" t="s">
        <v>121</v>
      </c>
      <c r="O22" t="s">
        <v>27</v>
      </c>
      <c r="P22" t="s">
        <v>28</v>
      </c>
      <c r="Q22">
        <f>VLOOKUP(B22,Tabelle2!C:S,17,0)</f>
        <v>0</v>
      </c>
    </row>
    <row r="23" spans="1:17" x14ac:dyDescent="0.3">
      <c r="A23" t="s">
        <v>112</v>
      </c>
      <c r="B23" t="s">
        <v>147</v>
      </c>
      <c r="C23" t="s">
        <v>148</v>
      </c>
      <c r="D23" t="s">
        <v>148</v>
      </c>
      <c r="E23" t="s">
        <v>149</v>
      </c>
      <c r="F23" t="s">
        <v>150</v>
      </c>
      <c r="G23" t="s">
        <v>126</v>
      </c>
      <c r="H23" t="s">
        <v>127</v>
      </c>
      <c r="I23" t="s">
        <v>151</v>
      </c>
      <c r="Q23">
        <f>VLOOKUP(B23,Tabelle2!C:S,17,0)</f>
        <v>0</v>
      </c>
    </row>
    <row r="24" spans="1:17" x14ac:dyDescent="0.3">
      <c r="A24" t="s">
        <v>112</v>
      </c>
      <c r="B24" t="s">
        <v>152</v>
      </c>
      <c r="C24" t="s">
        <v>153</v>
      </c>
      <c r="D24" t="s">
        <v>153</v>
      </c>
      <c r="E24" t="s">
        <v>154</v>
      </c>
      <c r="F24" t="s">
        <v>155</v>
      </c>
      <c r="G24" t="s">
        <v>37</v>
      </c>
      <c r="H24" t="s">
        <v>156</v>
      </c>
      <c r="I24" t="s">
        <v>23</v>
      </c>
      <c r="J24" t="s">
        <v>134</v>
      </c>
      <c r="K24" t="s">
        <v>32</v>
      </c>
      <c r="L24">
        <v>50.1</v>
      </c>
      <c r="M24">
        <v>14.4</v>
      </c>
      <c r="N24" t="s">
        <v>26</v>
      </c>
      <c r="O24" t="s">
        <v>27</v>
      </c>
      <c r="P24" t="s">
        <v>28</v>
      </c>
      <c r="Q24">
        <f>VLOOKUP(B24,Tabelle2!C:S,17,0)</f>
        <v>0</v>
      </c>
    </row>
    <row r="25" spans="1:17" x14ac:dyDescent="0.3">
      <c r="A25" t="s">
        <v>112</v>
      </c>
      <c r="B25" t="s">
        <v>157</v>
      </c>
      <c r="C25" t="s">
        <v>158</v>
      </c>
      <c r="D25" t="s">
        <v>158</v>
      </c>
      <c r="E25" t="s">
        <v>159</v>
      </c>
      <c r="F25" t="s">
        <v>160</v>
      </c>
      <c r="G25" t="s">
        <v>126</v>
      </c>
      <c r="H25" t="s">
        <v>127</v>
      </c>
      <c r="I25" t="s">
        <v>161</v>
      </c>
      <c r="Q25">
        <f>VLOOKUP(B25,Tabelle2!C:S,17,0)</f>
        <v>0</v>
      </c>
    </row>
    <row r="26" spans="1:17" x14ac:dyDescent="0.3">
      <c r="A26" t="s">
        <v>112</v>
      </c>
      <c r="B26" t="s">
        <v>162</v>
      </c>
      <c r="C26" t="s">
        <v>163</v>
      </c>
      <c r="D26" t="s">
        <v>163</v>
      </c>
      <c r="E26" t="s">
        <v>164</v>
      </c>
      <c r="F26" t="s">
        <v>165</v>
      </c>
      <c r="G26" t="s">
        <v>21</v>
      </c>
      <c r="H26" t="s">
        <v>166</v>
      </c>
      <c r="I26" t="s">
        <v>23</v>
      </c>
      <c r="J26" t="s">
        <v>134</v>
      </c>
      <c r="K26" t="s">
        <v>32</v>
      </c>
      <c r="L26">
        <v>21.3</v>
      </c>
      <c r="M26">
        <v>-157.80000000000001</v>
      </c>
      <c r="N26" t="s">
        <v>26</v>
      </c>
      <c r="O26" t="s">
        <v>27</v>
      </c>
      <c r="P26" t="s">
        <v>28</v>
      </c>
      <c r="Q26">
        <f>VLOOKUP(B26,Tabelle2!C:S,17,0)</f>
        <v>0</v>
      </c>
    </row>
    <row r="27" spans="1:17" x14ac:dyDescent="0.3">
      <c r="A27" t="s">
        <v>112</v>
      </c>
      <c r="B27" t="s">
        <v>167</v>
      </c>
      <c r="C27" t="s">
        <v>168</v>
      </c>
      <c r="D27" t="s">
        <v>168</v>
      </c>
      <c r="E27" t="s">
        <v>169</v>
      </c>
      <c r="F27" t="s">
        <v>170</v>
      </c>
      <c r="G27" t="s">
        <v>126</v>
      </c>
      <c r="H27" t="s">
        <v>127</v>
      </c>
      <c r="I27" t="s">
        <v>171</v>
      </c>
      <c r="Q27">
        <f>VLOOKUP(B27,Tabelle2!C:S,17,0)</f>
        <v>0</v>
      </c>
    </row>
    <row r="28" spans="1:17" x14ac:dyDescent="0.3">
      <c r="A28" t="s">
        <v>112</v>
      </c>
      <c r="B28" t="s">
        <v>172</v>
      </c>
      <c r="C28" t="s">
        <v>173</v>
      </c>
      <c r="D28" t="s">
        <v>173</v>
      </c>
      <c r="E28" t="s">
        <v>174</v>
      </c>
      <c r="F28" t="s">
        <v>175</v>
      </c>
      <c r="G28" t="s">
        <v>176</v>
      </c>
      <c r="H28" t="s">
        <v>177</v>
      </c>
      <c r="I28" t="s">
        <v>50</v>
      </c>
      <c r="J28" t="s">
        <v>178</v>
      </c>
      <c r="K28" t="s">
        <v>32</v>
      </c>
      <c r="L28">
        <v>18.3</v>
      </c>
      <c r="M28">
        <v>82.9</v>
      </c>
      <c r="N28" t="s">
        <v>121</v>
      </c>
      <c r="O28" t="s">
        <v>27</v>
      </c>
      <c r="P28" t="s">
        <v>28</v>
      </c>
      <c r="Q28">
        <f>VLOOKUP(B28,Tabelle2!C:S,17,0)</f>
        <v>0</v>
      </c>
    </row>
    <row r="29" spans="1:17" x14ac:dyDescent="0.3">
      <c r="A29" t="s">
        <v>112</v>
      </c>
      <c r="B29" t="s">
        <v>179</v>
      </c>
      <c r="C29" t="s">
        <v>180</v>
      </c>
      <c r="D29" t="s">
        <v>180</v>
      </c>
      <c r="E29" t="s">
        <v>181</v>
      </c>
      <c r="F29" t="s">
        <v>182</v>
      </c>
      <c r="G29" t="s">
        <v>21</v>
      </c>
      <c r="H29" t="s">
        <v>183</v>
      </c>
      <c r="I29" t="s">
        <v>23</v>
      </c>
      <c r="J29" t="s">
        <v>134</v>
      </c>
      <c r="K29" t="s">
        <v>32</v>
      </c>
      <c r="L29">
        <v>-41.3</v>
      </c>
      <c r="M29">
        <v>174.5</v>
      </c>
      <c r="N29" t="s">
        <v>26</v>
      </c>
      <c r="O29" t="s">
        <v>27</v>
      </c>
      <c r="P29" t="s">
        <v>28</v>
      </c>
      <c r="Q29">
        <f>VLOOKUP(B29,Tabelle2!C:S,17,0)</f>
        <v>0</v>
      </c>
    </row>
    <row r="30" spans="1:17" x14ac:dyDescent="0.3">
      <c r="A30" t="s">
        <v>112</v>
      </c>
      <c r="B30" t="s">
        <v>184</v>
      </c>
      <c r="C30" t="s">
        <v>185</v>
      </c>
      <c r="D30" t="s">
        <v>185</v>
      </c>
      <c r="E30" t="s">
        <v>186</v>
      </c>
      <c r="F30" t="s">
        <v>187</v>
      </c>
      <c r="G30" t="s">
        <v>37</v>
      </c>
      <c r="H30" t="s">
        <v>188</v>
      </c>
      <c r="I30" t="s">
        <v>189</v>
      </c>
      <c r="J30" t="s">
        <v>190</v>
      </c>
      <c r="K30" t="s">
        <v>25</v>
      </c>
      <c r="L30">
        <v>60.4</v>
      </c>
      <c r="M30">
        <v>5.4</v>
      </c>
      <c r="N30" t="s">
        <v>121</v>
      </c>
      <c r="O30" t="s">
        <v>27</v>
      </c>
      <c r="P30" t="s">
        <v>28</v>
      </c>
      <c r="Q30">
        <f>VLOOKUP(B30,Tabelle2!C:S,17,0)</f>
        <v>0</v>
      </c>
    </row>
    <row r="31" spans="1:17" x14ac:dyDescent="0.3">
      <c r="A31" t="s">
        <v>112</v>
      </c>
      <c r="B31" t="s">
        <v>191</v>
      </c>
      <c r="C31" t="s">
        <v>192</v>
      </c>
      <c r="D31" t="s">
        <v>192</v>
      </c>
      <c r="E31" t="s">
        <v>193</v>
      </c>
      <c r="F31" t="s">
        <v>194</v>
      </c>
      <c r="G31" t="s">
        <v>37</v>
      </c>
      <c r="H31" t="s">
        <v>195</v>
      </c>
      <c r="I31" t="s">
        <v>23</v>
      </c>
      <c r="J31" t="s">
        <v>134</v>
      </c>
      <c r="K31" t="s">
        <v>32</v>
      </c>
      <c r="L31">
        <v>52.2</v>
      </c>
      <c r="M31">
        <v>21</v>
      </c>
      <c r="N31" t="s">
        <v>26</v>
      </c>
      <c r="O31" t="s">
        <v>27</v>
      </c>
      <c r="P31" t="s">
        <v>28</v>
      </c>
      <c r="Q31">
        <f>VLOOKUP(B31,Tabelle2!C:S,17,0)</f>
        <v>0</v>
      </c>
    </row>
    <row r="32" spans="1:17" x14ac:dyDescent="0.3">
      <c r="A32" t="s">
        <v>112</v>
      </c>
      <c r="B32" t="s">
        <v>196</v>
      </c>
      <c r="C32" t="s">
        <v>197</v>
      </c>
      <c r="D32" t="s">
        <v>197</v>
      </c>
      <c r="E32" t="s">
        <v>198</v>
      </c>
      <c r="F32" t="s">
        <v>199</v>
      </c>
      <c r="G32" t="s">
        <v>37</v>
      </c>
      <c r="H32" t="s">
        <v>200</v>
      </c>
      <c r="I32" t="s">
        <v>201</v>
      </c>
      <c r="J32" t="s">
        <v>202</v>
      </c>
      <c r="K32" t="s">
        <v>32</v>
      </c>
      <c r="L32">
        <v>32.203000000000003</v>
      </c>
      <c r="M32">
        <v>35.270000000000003</v>
      </c>
      <c r="N32" t="s">
        <v>121</v>
      </c>
      <c r="O32" t="s">
        <v>27</v>
      </c>
      <c r="P32" t="s">
        <v>28</v>
      </c>
      <c r="Q32">
        <f>VLOOKUP(B32,Tabelle2!C:S,17,0)</f>
        <v>0</v>
      </c>
    </row>
    <row r="33" spans="1:17" x14ac:dyDescent="0.3">
      <c r="A33" t="s">
        <v>112</v>
      </c>
      <c r="B33" t="s">
        <v>203</v>
      </c>
      <c r="C33" t="s">
        <v>204</v>
      </c>
      <c r="D33" t="s">
        <v>204</v>
      </c>
      <c r="E33" t="s">
        <v>205</v>
      </c>
      <c r="F33" t="s">
        <v>206</v>
      </c>
      <c r="G33" t="s">
        <v>56</v>
      </c>
      <c r="H33" t="s">
        <v>207</v>
      </c>
      <c r="I33" t="s">
        <v>208</v>
      </c>
      <c r="J33" t="s">
        <v>209</v>
      </c>
      <c r="K33" t="s">
        <v>120</v>
      </c>
      <c r="L33">
        <v>5.6</v>
      </c>
      <c r="M33">
        <v>48.3</v>
      </c>
      <c r="N33" t="s">
        <v>121</v>
      </c>
      <c r="O33" t="s">
        <v>27</v>
      </c>
      <c r="P33" t="s">
        <v>28</v>
      </c>
      <c r="Q33">
        <f>VLOOKUP(B33,Tabelle2!C:S,17,0)</f>
        <v>0</v>
      </c>
    </row>
    <row r="34" spans="1:17" x14ac:dyDescent="0.3">
      <c r="A34" t="s">
        <v>112</v>
      </c>
      <c r="B34" t="s">
        <v>210</v>
      </c>
      <c r="C34" t="s">
        <v>211</v>
      </c>
      <c r="D34" t="s">
        <v>211</v>
      </c>
      <c r="E34" t="s">
        <v>212</v>
      </c>
      <c r="F34" t="s">
        <v>213</v>
      </c>
      <c r="G34" t="s">
        <v>37</v>
      </c>
      <c r="H34" t="s">
        <v>214</v>
      </c>
      <c r="I34" t="s">
        <v>215</v>
      </c>
      <c r="J34" t="s">
        <v>216</v>
      </c>
      <c r="K34" t="s">
        <v>32</v>
      </c>
      <c r="L34">
        <v>39.814999999999998</v>
      </c>
      <c r="M34">
        <v>46.752000000000002</v>
      </c>
      <c r="N34" t="s">
        <v>121</v>
      </c>
      <c r="O34" t="s">
        <v>27</v>
      </c>
      <c r="P34" t="s">
        <v>28</v>
      </c>
      <c r="Q34">
        <f>VLOOKUP(B34,Tabelle2!C:S,17,0)</f>
        <v>0</v>
      </c>
    </row>
    <row r="35" spans="1:17" x14ac:dyDescent="0.3">
      <c r="A35" t="s">
        <v>112</v>
      </c>
      <c r="B35" t="s">
        <v>217</v>
      </c>
      <c r="C35" t="s">
        <v>218</v>
      </c>
      <c r="D35" t="s">
        <v>218</v>
      </c>
      <c r="E35" t="s">
        <v>219</v>
      </c>
      <c r="F35" t="s">
        <v>213</v>
      </c>
      <c r="G35" t="s">
        <v>37</v>
      </c>
      <c r="H35" t="s">
        <v>214</v>
      </c>
      <c r="I35" t="s">
        <v>220</v>
      </c>
      <c r="J35" t="s">
        <v>216</v>
      </c>
      <c r="K35" t="s">
        <v>32</v>
      </c>
      <c r="L35">
        <v>40.604999999999997</v>
      </c>
      <c r="M35">
        <v>43.100999999999999</v>
      </c>
      <c r="N35" t="s">
        <v>121</v>
      </c>
      <c r="O35" t="s">
        <v>27</v>
      </c>
      <c r="P35" t="s">
        <v>28</v>
      </c>
      <c r="Q35">
        <f>VLOOKUP(B35,Tabelle2!C:S,17,0)</f>
        <v>0</v>
      </c>
    </row>
    <row r="36" spans="1:17" x14ac:dyDescent="0.3">
      <c r="A36" t="s">
        <v>112</v>
      </c>
      <c r="B36" t="s">
        <v>221</v>
      </c>
      <c r="C36" t="s">
        <v>222</v>
      </c>
      <c r="D36" t="s">
        <v>222</v>
      </c>
      <c r="E36" t="s">
        <v>223</v>
      </c>
      <c r="F36" t="s">
        <v>224</v>
      </c>
      <c r="G36" t="s">
        <v>176</v>
      </c>
      <c r="H36" t="s">
        <v>225</v>
      </c>
      <c r="I36" t="s">
        <v>50</v>
      </c>
      <c r="J36" t="s">
        <v>51</v>
      </c>
      <c r="K36" t="s">
        <v>32</v>
      </c>
      <c r="L36">
        <v>30.5</v>
      </c>
      <c r="M36">
        <v>66.5</v>
      </c>
      <c r="N36" t="s">
        <v>26</v>
      </c>
      <c r="O36" t="s">
        <v>27</v>
      </c>
      <c r="P36" t="s">
        <v>28</v>
      </c>
      <c r="Q36">
        <f>VLOOKUP(B36,Tabelle2!C:S,17,0)</f>
        <v>0</v>
      </c>
    </row>
    <row r="37" spans="1:17" x14ac:dyDescent="0.3">
      <c r="A37" t="s">
        <v>112</v>
      </c>
      <c r="B37" t="s">
        <v>226</v>
      </c>
      <c r="C37" t="s">
        <v>227</v>
      </c>
      <c r="D37" t="s">
        <v>227</v>
      </c>
      <c r="E37" t="s">
        <v>228</v>
      </c>
      <c r="F37" t="s">
        <v>224</v>
      </c>
      <c r="G37" t="s">
        <v>176</v>
      </c>
      <c r="H37" t="s">
        <v>225</v>
      </c>
      <c r="I37" t="s">
        <v>50</v>
      </c>
      <c r="J37" t="s">
        <v>51</v>
      </c>
      <c r="K37" t="s">
        <v>32</v>
      </c>
      <c r="L37">
        <v>30.498714920000001</v>
      </c>
      <c r="M37">
        <v>66.5</v>
      </c>
      <c r="N37" t="s">
        <v>26</v>
      </c>
      <c r="O37" t="s">
        <v>27</v>
      </c>
      <c r="P37" t="s">
        <v>28</v>
      </c>
      <c r="Q37">
        <f>VLOOKUP(B37,Tabelle2!C:S,17,0)</f>
        <v>0</v>
      </c>
    </row>
    <row r="38" spans="1:17" x14ac:dyDescent="0.3">
      <c r="A38" t="s">
        <v>112</v>
      </c>
      <c r="B38" t="s">
        <v>229</v>
      </c>
      <c r="C38" t="s">
        <v>230</v>
      </c>
      <c r="D38" t="s">
        <v>230</v>
      </c>
      <c r="E38" t="s">
        <v>231</v>
      </c>
      <c r="F38" t="s">
        <v>232</v>
      </c>
      <c r="G38" t="s">
        <v>37</v>
      </c>
      <c r="H38" t="s">
        <v>233</v>
      </c>
      <c r="I38" t="s">
        <v>50</v>
      </c>
      <c r="J38" t="s">
        <v>51</v>
      </c>
      <c r="K38" t="s">
        <v>32</v>
      </c>
      <c r="L38">
        <v>46</v>
      </c>
      <c r="M38">
        <v>10</v>
      </c>
      <c r="N38" t="s">
        <v>26</v>
      </c>
      <c r="O38" t="s">
        <v>27</v>
      </c>
      <c r="P38" t="s">
        <v>28</v>
      </c>
      <c r="Q38">
        <f>VLOOKUP(B38,Tabelle2!C:S,17,0)</f>
        <v>0</v>
      </c>
    </row>
    <row r="39" spans="1:17" x14ac:dyDescent="0.3">
      <c r="A39" t="s">
        <v>112</v>
      </c>
      <c r="B39" t="s">
        <v>234</v>
      </c>
      <c r="C39" t="s">
        <v>235</v>
      </c>
      <c r="D39" t="s">
        <v>235</v>
      </c>
      <c r="E39" t="s">
        <v>236</v>
      </c>
      <c r="F39" t="s">
        <v>232</v>
      </c>
      <c r="G39" t="s">
        <v>37</v>
      </c>
      <c r="H39" t="s">
        <v>233</v>
      </c>
      <c r="I39" t="s">
        <v>50</v>
      </c>
      <c r="J39" t="s">
        <v>51</v>
      </c>
      <c r="K39" t="s">
        <v>120</v>
      </c>
      <c r="L39">
        <v>46</v>
      </c>
      <c r="M39">
        <v>10</v>
      </c>
      <c r="N39" t="s">
        <v>26</v>
      </c>
      <c r="O39" t="s">
        <v>27</v>
      </c>
      <c r="P39" t="s">
        <v>28</v>
      </c>
      <c r="Q39">
        <f>VLOOKUP(B39,Tabelle2!C:S,17,0)</f>
        <v>0</v>
      </c>
    </row>
    <row r="40" spans="1:17" x14ac:dyDescent="0.3">
      <c r="A40" t="s">
        <v>112</v>
      </c>
      <c r="B40" t="s">
        <v>237</v>
      </c>
      <c r="C40" t="s">
        <v>238</v>
      </c>
      <c r="D40" t="s">
        <v>238</v>
      </c>
      <c r="E40" t="s">
        <v>239</v>
      </c>
      <c r="F40" t="s">
        <v>240</v>
      </c>
      <c r="G40" t="s">
        <v>48</v>
      </c>
      <c r="H40" t="s">
        <v>49</v>
      </c>
      <c r="I40" t="s">
        <v>50</v>
      </c>
      <c r="J40" t="s">
        <v>51</v>
      </c>
      <c r="K40" t="s">
        <v>25</v>
      </c>
      <c r="L40">
        <v>48.5</v>
      </c>
      <c r="M40">
        <v>124</v>
      </c>
      <c r="N40" t="s">
        <v>26</v>
      </c>
      <c r="O40" t="s">
        <v>27</v>
      </c>
      <c r="P40" t="s">
        <v>28</v>
      </c>
      <c r="Q40">
        <f>VLOOKUP(B40,Tabelle2!C:S,17,0)</f>
        <v>0</v>
      </c>
    </row>
    <row r="41" spans="1:17" x14ac:dyDescent="0.3">
      <c r="A41" t="s">
        <v>112</v>
      </c>
      <c r="B41" t="s">
        <v>241</v>
      </c>
      <c r="C41" t="s">
        <v>242</v>
      </c>
      <c r="D41" t="s">
        <v>242</v>
      </c>
      <c r="E41" t="s">
        <v>243</v>
      </c>
      <c r="F41" t="s">
        <v>240</v>
      </c>
      <c r="G41" t="s">
        <v>48</v>
      </c>
      <c r="H41" t="s">
        <v>49</v>
      </c>
      <c r="I41" t="s">
        <v>50</v>
      </c>
      <c r="J41" t="s">
        <v>51</v>
      </c>
      <c r="K41" t="s">
        <v>120</v>
      </c>
      <c r="L41">
        <v>48.5</v>
      </c>
      <c r="M41">
        <v>124</v>
      </c>
      <c r="N41" t="s">
        <v>26</v>
      </c>
      <c r="O41" t="s">
        <v>27</v>
      </c>
      <c r="P41" t="s">
        <v>28</v>
      </c>
      <c r="Q41">
        <f>VLOOKUP(B41,Tabelle2!C:S,17,0)</f>
        <v>0</v>
      </c>
    </row>
    <row r="42" spans="1:17" x14ac:dyDescent="0.3">
      <c r="A42" t="s">
        <v>112</v>
      </c>
      <c r="B42" t="s">
        <v>244</v>
      </c>
      <c r="C42" t="s">
        <v>245</v>
      </c>
      <c r="D42" t="s">
        <v>245</v>
      </c>
      <c r="E42" t="s">
        <v>246</v>
      </c>
      <c r="F42" t="s">
        <v>247</v>
      </c>
      <c r="G42" t="s">
        <v>56</v>
      </c>
      <c r="H42" t="s">
        <v>207</v>
      </c>
      <c r="I42" t="s">
        <v>248</v>
      </c>
      <c r="J42" t="s">
        <v>134</v>
      </c>
      <c r="K42" t="s">
        <v>32</v>
      </c>
      <c r="L42">
        <v>-1.5</v>
      </c>
      <c r="M42">
        <v>35.200000000000003</v>
      </c>
      <c r="N42" t="s">
        <v>26</v>
      </c>
      <c r="O42" t="s">
        <v>27</v>
      </c>
      <c r="P42" t="s">
        <v>28</v>
      </c>
      <c r="Q42">
        <f>VLOOKUP(B42,Tabelle2!C:S,17,0)</f>
        <v>0</v>
      </c>
    </row>
    <row r="43" spans="1:17" x14ac:dyDescent="0.3">
      <c r="A43" t="s">
        <v>112</v>
      </c>
      <c r="B43" t="s">
        <v>249</v>
      </c>
      <c r="C43" t="s">
        <v>250</v>
      </c>
      <c r="D43" t="s">
        <v>250</v>
      </c>
      <c r="E43" t="s">
        <v>251</v>
      </c>
      <c r="F43" t="s">
        <v>247</v>
      </c>
      <c r="G43" t="s">
        <v>56</v>
      </c>
      <c r="H43" t="s">
        <v>207</v>
      </c>
      <c r="I43" t="s">
        <v>248</v>
      </c>
      <c r="J43" t="s">
        <v>134</v>
      </c>
      <c r="K43" t="s">
        <v>32</v>
      </c>
      <c r="L43">
        <v>-1.5</v>
      </c>
      <c r="M43">
        <v>35.200000000000003</v>
      </c>
      <c r="N43" t="s">
        <v>26</v>
      </c>
      <c r="O43" t="s">
        <v>27</v>
      </c>
      <c r="P43" t="s">
        <v>28</v>
      </c>
      <c r="Q43">
        <f>VLOOKUP(B43,Tabelle2!C:S,17,0)</f>
        <v>0</v>
      </c>
    </row>
    <row r="44" spans="1:17" x14ac:dyDescent="0.3">
      <c r="A44" t="s">
        <v>112</v>
      </c>
      <c r="B44" t="s">
        <v>252</v>
      </c>
      <c r="C44" t="s">
        <v>253</v>
      </c>
      <c r="D44" t="s">
        <v>253</v>
      </c>
      <c r="E44" t="s">
        <v>254</v>
      </c>
      <c r="F44" t="s">
        <v>255</v>
      </c>
      <c r="G44" t="s">
        <v>56</v>
      </c>
      <c r="H44" t="s">
        <v>256</v>
      </c>
      <c r="I44" t="s">
        <v>50</v>
      </c>
      <c r="J44" t="s">
        <v>51</v>
      </c>
      <c r="K44" t="s">
        <v>32</v>
      </c>
      <c r="L44">
        <v>32</v>
      </c>
      <c r="M44">
        <v>3</v>
      </c>
      <c r="N44" t="s">
        <v>26</v>
      </c>
      <c r="O44" t="s">
        <v>27</v>
      </c>
      <c r="P44" t="s">
        <v>28</v>
      </c>
      <c r="Q44">
        <f>VLOOKUP(B44,Tabelle2!C:S,17,0)</f>
        <v>0</v>
      </c>
    </row>
    <row r="45" spans="1:17" x14ac:dyDescent="0.3">
      <c r="A45" t="s">
        <v>112</v>
      </c>
      <c r="B45" t="s">
        <v>257</v>
      </c>
      <c r="C45" t="s">
        <v>258</v>
      </c>
      <c r="D45" t="s">
        <v>258</v>
      </c>
      <c r="E45" t="s">
        <v>259</v>
      </c>
      <c r="F45" t="s">
        <v>255</v>
      </c>
      <c r="G45" t="s">
        <v>56</v>
      </c>
      <c r="H45" t="s">
        <v>256</v>
      </c>
      <c r="I45" t="s">
        <v>50</v>
      </c>
      <c r="J45" t="s">
        <v>51</v>
      </c>
      <c r="K45" t="s">
        <v>120</v>
      </c>
      <c r="L45">
        <v>32</v>
      </c>
      <c r="M45">
        <v>3</v>
      </c>
      <c r="N45" t="s">
        <v>26</v>
      </c>
      <c r="O45" t="s">
        <v>27</v>
      </c>
      <c r="P45" t="s">
        <v>28</v>
      </c>
      <c r="Q45">
        <f>VLOOKUP(B45,Tabelle2!C:S,17,0)</f>
        <v>0</v>
      </c>
    </row>
    <row r="46" spans="1:17" x14ac:dyDescent="0.3">
      <c r="A46" t="s">
        <v>112</v>
      </c>
      <c r="B46" t="s">
        <v>260</v>
      </c>
      <c r="C46" t="s">
        <v>261</v>
      </c>
      <c r="D46" t="s">
        <v>261</v>
      </c>
      <c r="E46" t="s">
        <v>262</v>
      </c>
      <c r="F46" t="s">
        <v>263</v>
      </c>
      <c r="G46" t="s">
        <v>79</v>
      </c>
      <c r="H46" t="s">
        <v>95</v>
      </c>
      <c r="I46" t="s">
        <v>50</v>
      </c>
      <c r="J46" t="s">
        <v>51</v>
      </c>
      <c r="K46" t="s">
        <v>32</v>
      </c>
      <c r="L46">
        <v>29</v>
      </c>
      <c r="M46">
        <v>-108</v>
      </c>
      <c r="N46" t="s">
        <v>26</v>
      </c>
      <c r="O46" t="s">
        <v>27</v>
      </c>
      <c r="P46" t="s">
        <v>28</v>
      </c>
      <c r="Q46">
        <f>VLOOKUP(B46,Tabelle2!C:S,17,0)</f>
        <v>0</v>
      </c>
    </row>
    <row r="47" spans="1:17" x14ac:dyDescent="0.3">
      <c r="A47" t="s">
        <v>112</v>
      </c>
      <c r="B47" t="s">
        <v>264</v>
      </c>
      <c r="C47" t="s">
        <v>265</v>
      </c>
      <c r="D47" t="s">
        <v>265</v>
      </c>
      <c r="E47" t="s">
        <v>266</v>
      </c>
      <c r="F47" t="s">
        <v>263</v>
      </c>
      <c r="G47" t="s">
        <v>79</v>
      </c>
      <c r="H47" t="s">
        <v>95</v>
      </c>
      <c r="I47" t="s">
        <v>50</v>
      </c>
      <c r="J47" t="s">
        <v>51</v>
      </c>
      <c r="K47" t="s">
        <v>120</v>
      </c>
      <c r="L47">
        <v>29</v>
      </c>
      <c r="M47">
        <v>-108</v>
      </c>
      <c r="N47" t="s">
        <v>26</v>
      </c>
      <c r="O47" t="s">
        <v>27</v>
      </c>
      <c r="P47" t="s">
        <v>28</v>
      </c>
      <c r="Q47">
        <f>VLOOKUP(B47,Tabelle2!C:S,17,0)</f>
        <v>0</v>
      </c>
    </row>
    <row r="48" spans="1:17" x14ac:dyDescent="0.3">
      <c r="A48" t="s">
        <v>112</v>
      </c>
      <c r="B48" t="s">
        <v>267</v>
      </c>
      <c r="C48" t="s">
        <v>268</v>
      </c>
      <c r="D48" t="s">
        <v>268</v>
      </c>
      <c r="E48" t="s">
        <v>269</v>
      </c>
      <c r="F48" t="s">
        <v>270</v>
      </c>
      <c r="G48" t="s">
        <v>37</v>
      </c>
      <c r="H48" t="s">
        <v>127</v>
      </c>
      <c r="I48" t="s">
        <v>271</v>
      </c>
      <c r="J48" t="s">
        <v>51</v>
      </c>
      <c r="K48" t="s">
        <v>32</v>
      </c>
      <c r="L48">
        <v>61</v>
      </c>
      <c r="M48">
        <v>40</v>
      </c>
      <c r="N48" t="s">
        <v>26</v>
      </c>
      <c r="O48" t="s">
        <v>27</v>
      </c>
      <c r="P48" t="s">
        <v>28</v>
      </c>
      <c r="Q48">
        <f>VLOOKUP(B48,Tabelle2!C:S,17,0)</f>
        <v>0</v>
      </c>
    </row>
    <row r="49" spans="1:17" x14ac:dyDescent="0.3">
      <c r="A49" t="s">
        <v>112</v>
      </c>
      <c r="B49" t="s">
        <v>272</v>
      </c>
      <c r="C49" t="s">
        <v>273</v>
      </c>
      <c r="D49" t="s">
        <v>273</v>
      </c>
      <c r="E49" t="s">
        <v>274</v>
      </c>
      <c r="F49" t="s">
        <v>270</v>
      </c>
      <c r="G49" t="s">
        <v>37</v>
      </c>
      <c r="H49" t="s">
        <v>127</v>
      </c>
      <c r="I49" t="s">
        <v>271</v>
      </c>
      <c r="J49" t="s">
        <v>51</v>
      </c>
      <c r="K49" t="s">
        <v>120</v>
      </c>
      <c r="L49">
        <v>61</v>
      </c>
      <c r="M49">
        <v>40</v>
      </c>
      <c r="N49" t="s">
        <v>26</v>
      </c>
      <c r="O49" t="s">
        <v>27</v>
      </c>
      <c r="P49" t="s">
        <v>28</v>
      </c>
      <c r="Q49">
        <f>VLOOKUP(B49,Tabelle2!C:S,17,0)</f>
        <v>0</v>
      </c>
    </row>
    <row r="50" spans="1:17" x14ac:dyDescent="0.3">
      <c r="A50" t="s">
        <v>112</v>
      </c>
      <c r="B50" t="s">
        <v>275</v>
      </c>
      <c r="C50" t="s">
        <v>276</v>
      </c>
      <c r="D50" t="s">
        <v>276</v>
      </c>
      <c r="E50" t="s">
        <v>277</v>
      </c>
      <c r="F50" t="s">
        <v>278</v>
      </c>
      <c r="G50" t="s">
        <v>48</v>
      </c>
      <c r="H50" t="s">
        <v>279</v>
      </c>
      <c r="I50" t="s">
        <v>50</v>
      </c>
      <c r="J50" t="s">
        <v>51</v>
      </c>
      <c r="K50" t="s">
        <v>32</v>
      </c>
      <c r="L50">
        <v>37.85</v>
      </c>
      <c r="M50">
        <v>139</v>
      </c>
      <c r="N50" t="s">
        <v>26</v>
      </c>
      <c r="O50" t="s">
        <v>27</v>
      </c>
      <c r="P50" t="s">
        <v>28</v>
      </c>
      <c r="Q50">
        <f>VLOOKUP(B50,Tabelle2!C:S,17,0)</f>
        <v>0</v>
      </c>
    </row>
    <row r="51" spans="1:17" x14ac:dyDescent="0.3">
      <c r="A51" t="s">
        <v>112</v>
      </c>
      <c r="B51" t="s">
        <v>280</v>
      </c>
      <c r="C51" t="s">
        <v>281</v>
      </c>
      <c r="D51" t="s">
        <v>281</v>
      </c>
      <c r="E51" t="s">
        <v>282</v>
      </c>
      <c r="F51" t="s">
        <v>283</v>
      </c>
      <c r="G51" t="s">
        <v>37</v>
      </c>
      <c r="H51" t="s">
        <v>284</v>
      </c>
      <c r="I51" t="s">
        <v>285</v>
      </c>
      <c r="J51" t="s">
        <v>286</v>
      </c>
      <c r="K51" t="s">
        <v>32</v>
      </c>
      <c r="L51">
        <v>32.055</v>
      </c>
      <c r="M51">
        <v>35.914000000000001</v>
      </c>
      <c r="N51" t="s">
        <v>121</v>
      </c>
      <c r="O51" t="s">
        <v>27</v>
      </c>
      <c r="P51" t="s">
        <v>28</v>
      </c>
      <c r="Q51">
        <f>VLOOKUP(B51,Tabelle2!C:S,17,0)</f>
        <v>0</v>
      </c>
    </row>
    <row r="52" spans="1:17" x14ac:dyDescent="0.3">
      <c r="A52" t="s">
        <v>112</v>
      </c>
      <c r="B52" t="s">
        <v>287</v>
      </c>
      <c r="C52" t="s">
        <v>288</v>
      </c>
      <c r="D52" t="s">
        <v>288</v>
      </c>
      <c r="E52" t="s">
        <v>289</v>
      </c>
      <c r="F52" t="s">
        <v>73</v>
      </c>
      <c r="G52" t="s">
        <v>56</v>
      </c>
      <c r="H52" t="s">
        <v>74</v>
      </c>
      <c r="I52" t="s">
        <v>50</v>
      </c>
      <c r="J52" t="s">
        <v>51</v>
      </c>
      <c r="K52" t="s">
        <v>32</v>
      </c>
      <c r="L52">
        <v>-18.899999999999999</v>
      </c>
      <c r="M52">
        <v>21.5</v>
      </c>
      <c r="N52" t="s">
        <v>26</v>
      </c>
      <c r="O52" t="s">
        <v>27</v>
      </c>
      <c r="P52" t="s">
        <v>28</v>
      </c>
      <c r="Q52">
        <f>VLOOKUP(B52,Tabelle2!C:S,17,0)</f>
        <v>0</v>
      </c>
    </row>
    <row r="53" spans="1:17" x14ac:dyDescent="0.3">
      <c r="A53" t="s">
        <v>112</v>
      </c>
      <c r="B53" t="s">
        <v>290</v>
      </c>
      <c r="C53" t="s">
        <v>291</v>
      </c>
      <c r="D53" t="s">
        <v>291</v>
      </c>
      <c r="E53" t="s">
        <v>292</v>
      </c>
      <c r="F53" t="s">
        <v>293</v>
      </c>
      <c r="G53" t="s">
        <v>37</v>
      </c>
      <c r="H53" t="s">
        <v>294</v>
      </c>
      <c r="I53" t="s">
        <v>50</v>
      </c>
      <c r="J53" t="s">
        <v>51</v>
      </c>
      <c r="K53" t="s">
        <v>120</v>
      </c>
      <c r="L53">
        <v>32</v>
      </c>
      <c r="M53">
        <v>35</v>
      </c>
      <c r="N53" t="s">
        <v>26</v>
      </c>
      <c r="O53" t="s">
        <v>27</v>
      </c>
      <c r="P53" t="s">
        <v>28</v>
      </c>
      <c r="Q53">
        <f>VLOOKUP(B53,Tabelle2!C:S,17,0)</f>
        <v>0</v>
      </c>
    </row>
    <row r="54" spans="1:17" x14ac:dyDescent="0.3">
      <c r="A54" t="s">
        <v>112</v>
      </c>
      <c r="B54" t="s">
        <v>295</v>
      </c>
      <c r="C54" t="s">
        <v>296</v>
      </c>
      <c r="D54" t="s">
        <v>296</v>
      </c>
      <c r="E54" t="s">
        <v>297</v>
      </c>
      <c r="F54" t="s">
        <v>298</v>
      </c>
      <c r="G54" t="s">
        <v>176</v>
      </c>
      <c r="H54" t="s">
        <v>225</v>
      </c>
      <c r="I54" t="s">
        <v>299</v>
      </c>
      <c r="J54" t="s">
        <v>300</v>
      </c>
      <c r="K54" t="s">
        <v>120</v>
      </c>
      <c r="L54">
        <v>31.5</v>
      </c>
      <c r="M54">
        <v>74.3</v>
      </c>
      <c r="N54" t="s">
        <v>26</v>
      </c>
      <c r="O54" t="s">
        <v>27</v>
      </c>
      <c r="P54" t="s">
        <v>28</v>
      </c>
      <c r="Q54">
        <f>VLOOKUP(B54,Tabelle2!C:S,17,0)</f>
        <v>0</v>
      </c>
    </row>
    <row r="55" spans="1:17" x14ac:dyDescent="0.3">
      <c r="A55" t="s">
        <v>112</v>
      </c>
      <c r="B55" t="s">
        <v>301</v>
      </c>
      <c r="C55" t="s">
        <v>302</v>
      </c>
      <c r="D55" t="s">
        <v>302</v>
      </c>
      <c r="E55" t="s">
        <v>303</v>
      </c>
      <c r="F55" t="s">
        <v>100</v>
      </c>
      <c r="G55" t="s">
        <v>21</v>
      </c>
      <c r="H55" t="s">
        <v>101</v>
      </c>
      <c r="I55" t="s">
        <v>304</v>
      </c>
      <c r="J55" t="s">
        <v>51</v>
      </c>
      <c r="K55" t="s">
        <v>32</v>
      </c>
      <c r="L55">
        <v>-4</v>
      </c>
      <c r="M55">
        <v>143</v>
      </c>
      <c r="N55" t="s">
        <v>26</v>
      </c>
      <c r="O55" t="s">
        <v>27</v>
      </c>
      <c r="P55" t="s">
        <v>28</v>
      </c>
      <c r="Q55">
        <f>VLOOKUP(B55,Tabelle2!C:S,17,0)</f>
        <v>0</v>
      </c>
    </row>
    <row r="56" spans="1:17" x14ac:dyDescent="0.3">
      <c r="A56" t="s">
        <v>112</v>
      </c>
      <c r="B56" t="s">
        <v>305</v>
      </c>
      <c r="C56" t="s">
        <v>306</v>
      </c>
      <c r="D56" t="s">
        <v>306</v>
      </c>
      <c r="E56" t="s">
        <v>307</v>
      </c>
      <c r="F56" t="s">
        <v>308</v>
      </c>
      <c r="G56" t="s">
        <v>37</v>
      </c>
      <c r="H56" t="s">
        <v>309</v>
      </c>
      <c r="I56" t="s">
        <v>310</v>
      </c>
      <c r="J56" t="s">
        <v>146</v>
      </c>
      <c r="K56" t="s">
        <v>32</v>
      </c>
      <c r="L56">
        <v>43.003</v>
      </c>
      <c r="M56">
        <v>41.015000000000001</v>
      </c>
      <c r="N56" t="s">
        <v>121</v>
      </c>
      <c r="O56" t="s">
        <v>27</v>
      </c>
      <c r="P56" t="s">
        <v>28</v>
      </c>
      <c r="Q56">
        <f>VLOOKUP(B56,Tabelle2!C:S,17,0)</f>
        <v>0</v>
      </c>
    </row>
    <row r="57" spans="1:17" x14ac:dyDescent="0.3">
      <c r="A57" t="s">
        <v>112</v>
      </c>
      <c r="B57" t="s">
        <v>311</v>
      </c>
      <c r="C57" t="s">
        <v>312</v>
      </c>
      <c r="D57" t="s">
        <v>312</v>
      </c>
      <c r="E57" t="s">
        <v>313</v>
      </c>
      <c r="F57" t="s">
        <v>308</v>
      </c>
      <c r="G57" t="s">
        <v>37</v>
      </c>
      <c r="H57" t="s">
        <v>127</v>
      </c>
      <c r="I57" t="s">
        <v>310</v>
      </c>
      <c r="J57" t="s">
        <v>146</v>
      </c>
      <c r="K57" t="s">
        <v>32</v>
      </c>
      <c r="L57">
        <v>43.003</v>
      </c>
      <c r="M57">
        <v>41.015000000000001</v>
      </c>
      <c r="N57" t="s">
        <v>121</v>
      </c>
      <c r="O57" t="s">
        <v>27</v>
      </c>
      <c r="P57" t="s">
        <v>28</v>
      </c>
      <c r="Q57">
        <f>VLOOKUP(B57,Tabelle2!C:S,17,0)</f>
        <v>0</v>
      </c>
    </row>
    <row r="58" spans="1:17" x14ac:dyDescent="0.3">
      <c r="A58" t="s">
        <v>112</v>
      </c>
      <c r="B58" t="s">
        <v>314</v>
      </c>
      <c r="C58" t="s">
        <v>315</v>
      </c>
      <c r="D58" t="s">
        <v>315</v>
      </c>
      <c r="E58" t="s">
        <v>316</v>
      </c>
      <c r="F58" t="s">
        <v>317</v>
      </c>
      <c r="G58" t="s">
        <v>37</v>
      </c>
      <c r="H58" t="s">
        <v>318</v>
      </c>
      <c r="I58" t="s">
        <v>319</v>
      </c>
      <c r="J58" t="s">
        <v>51</v>
      </c>
      <c r="K58" t="s">
        <v>32</v>
      </c>
      <c r="L58">
        <v>44</v>
      </c>
      <c r="M58">
        <v>39</v>
      </c>
      <c r="N58" t="s">
        <v>26</v>
      </c>
      <c r="O58" t="s">
        <v>27</v>
      </c>
      <c r="P58" t="s">
        <v>28</v>
      </c>
      <c r="Q58">
        <f>VLOOKUP(B58,Tabelle2!C:S,17,0)</f>
        <v>0</v>
      </c>
    </row>
    <row r="59" spans="1:17" x14ac:dyDescent="0.3">
      <c r="A59" t="s">
        <v>112</v>
      </c>
      <c r="B59" t="s">
        <v>320</v>
      </c>
      <c r="C59" t="s">
        <v>321</v>
      </c>
      <c r="D59" t="s">
        <v>321</v>
      </c>
      <c r="E59" t="s">
        <v>322</v>
      </c>
      <c r="F59" t="s">
        <v>317</v>
      </c>
      <c r="G59" t="s">
        <v>37</v>
      </c>
      <c r="H59" t="s">
        <v>318</v>
      </c>
      <c r="I59" t="s">
        <v>319</v>
      </c>
      <c r="J59" t="s">
        <v>51</v>
      </c>
      <c r="K59" t="s">
        <v>120</v>
      </c>
      <c r="L59">
        <v>44</v>
      </c>
      <c r="M59">
        <v>39</v>
      </c>
      <c r="N59" t="s">
        <v>26</v>
      </c>
      <c r="O59" t="s">
        <v>27</v>
      </c>
      <c r="P59" t="s">
        <v>28</v>
      </c>
      <c r="Q59">
        <f>VLOOKUP(B59,Tabelle2!C:S,17,0)</f>
        <v>0</v>
      </c>
    </row>
    <row r="60" spans="1:17" x14ac:dyDescent="0.3">
      <c r="A60" t="s">
        <v>112</v>
      </c>
      <c r="B60" t="s">
        <v>323</v>
      </c>
      <c r="C60" t="s">
        <v>324</v>
      </c>
      <c r="D60" t="s">
        <v>324</v>
      </c>
      <c r="E60" t="s">
        <v>325</v>
      </c>
      <c r="F60" t="s">
        <v>326</v>
      </c>
      <c r="G60" t="s">
        <v>126</v>
      </c>
      <c r="H60" t="s">
        <v>127</v>
      </c>
      <c r="I60" t="s">
        <v>327</v>
      </c>
      <c r="Q60">
        <f>VLOOKUP(B60,Tabelle2!C:S,17,0)</f>
        <v>0</v>
      </c>
    </row>
    <row r="61" spans="1:17" x14ac:dyDescent="0.3">
      <c r="A61" t="s">
        <v>112</v>
      </c>
      <c r="B61" t="s">
        <v>328</v>
      </c>
      <c r="C61" t="s">
        <v>329</v>
      </c>
      <c r="D61" t="s">
        <v>329</v>
      </c>
      <c r="E61" t="s">
        <v>330</v>
      </c>
      <c r="F61" t="s">
        <v>326</v>
      </c>
      <c r="G61" t="s">
        <v>126</v>
      </c>
      <c r="H61" t="s">
        <v>127</v>
      </c>
      <c r="I61" t="s">
        <v>327</v>
      </c>
      <c r="Q61">
        <f>VLOOKUP(B61,Tabelle2!C:S,17,0)</f>
        <v>0</v>
      </c>
    </row>
    <row r="62" spans="1:17" x14ac:dyDescent="0.3">
      <c r="A62" t="s">
        <v>112</v>
      </c>
      <c r="B62" t="s">
        <v>331</v>
      </c>
      <c r="C62" t="s">
        <v>332</v>
      </c>
      <c r="D62" t="s">
        <v>332</v>
      </c>
      <c r="E62" t="s">
        <v>333</v>
      </c>
      <c r="F62" t="s">
        <v>334</v>
      </c>
      <c r="G62" t="s">
        <v>48</v>
      </c>
      <c r="H62" t="s">
        <v>133</v>
      </c>
      <c r="I62" t="s">
        <v>23</v>
      </c>
      <c r="J62" t="s">
        <v>134</v>
      </c>
      <c r="K62" t="s">
        <v>32</v>
      </c>
      <c r="L62">
        <v>22.843145</v>
      </c>
      <c r="M62">
        <v>121.185356</v>
      </c>
      <c r="N62" t="s">
        <v>26</v>
      </c>
      <c r="O62" t="s">
        <v>27</v>
      </c>
      <c r="P62" t="s">
        <v>28</v>
      </c>
      <c r="Q62">
        <f>VLOOKUP(B62,Tabelle2!C:S,17,0)</f>
        <v>0</v>
      </c>
    </row>
    <row r="63" spans="1:17" x14ac:dyDescent="0.3">
      <c r="A63" t="s">
        <v>112</v>
      </c>
      <c r="B63" t="s">
        <v>335</v>
      </c>
      <c r="C63" t="s">
        <v>336</v>
      </c>
      <c r="D63" t="s">
        <v>336</v>
      </c>
      <c r="E63" t="s">
        <v>337</v>
      </c>
      <c r="F63" t="s">
        <v>334</v>
      </c>
      <c r="G63" t="s">
        <v>48</v>
      </c>
      <c r="H63" t="s">
        <v>133</v>
      </c>
      <c r="I63" t="s">
        <v>23</v>
      </c>
      <c r="J63" t="s">
        <v>134</v>
      </c>
      <c r="K63" t="s">
        <v>32</v>
      </c>
      <c r="L63">
        <v>22.843145</v>
      </c>
      <c r="M63">
        <v>121.185356</v>
      </c>
      <c r="N63" t="s">
        <v>26</v>
      </c>
      <c r="O63" t="s">
        <v>27</v>
      </c>
      <c r="P63" t="s">
        <v>28</v>
      </c>
      <c r="Q63">
        <f>VLOOKUP(B63,Tabelle2!C:S,17,0)</f>
        <v>0</v>
      </c>
    </row>
    <row r="64" spans="1:17" x14ac:dyDescent="0.3">
      <c r="A64" t="s">
        <v>112</v>
      </c>
      <c r="B64" t="s">
        <v>338</v>
      </c>
      <c r="C64" t="s">
        <v>339</v>
      </c>
      <c r="D64" t="s">
        <v>339</v>
      </c>
      <c r="E64" t="s">
        <v>340</v>
      </c>
      <c r="F64" t="s">
        <v>341</v>
      </c>
      <c r="G64" t="s">
        <v>56</v>
      </c>
      <c r="H64" t="s">
        <v>342</v>
      </c>
      <c r="I64" t="s">
        <v>50</v>
      </c>
      <c r="J64" t="s">
        <v>51</v>
      </c>
      <c r="K64" t="s">
        <v>32</v>
      </c>
      <c r="L64">
        <v>-22</v>
      </c>
      <c r="M64">
        <v>19</v>
      </c>
      <c r="N64" t="s">
        <v>26</v>
      </c>
      <c r="O64" t="s">
        <v>27</v>
      </c>
      <c r="P64" t="s">
        <v>28</v>
      </c>
      <c r="Q64">
        <f>VLOOKUP(B64,Tabelle2!C:S,17,0)</f>
        <v>0</v>
      </c>
    </row>
    <row r="65" spans="1:17" x14ac:dyDescent="0.3">
      <c r="A65" t="s">
        <v>112</v>
      </c>
      <c r="B65" t="s">
        <v>343</v>
      </c>
      <c r="C65" t="s">
        <v>344</v>
      </c>
      <c r="D65" t="s">
        <v>344</v>
      </c>
      <c r="E65" t="s">
        <v>345</v>
      </c>
      <c r="F65" t="s">
        <v>341</v>
      </c>
      <c r="G65" t="s">
        <v>56</v>
      </c>
      <c r="H65" t="s">
        <v>342</v>
      </c>
      <c r="I65" t="s">
        <v>50</v>
      </c>
      <c r="J65" t="s">
        <v>51</v>
      </c>
      <c r="K65" t="s">
        <v>32</v>
      </c>
      <c r="L65">
        <v>-22</v>
      </c>
      <c r="M65">
        <v>19</v>
      </c>
      <c r="N65" t="s">
        <v>26</v>
      </c>
      <c r="O65" t="s">
        <v>27</v>
      </c>
      <c r="P65" t="s">
        <v>28</v>
      </c>
      <c r="Q65">
        <f>VLOOKUP(B65,Tabelle2!C:S,17,0)</f>
        <v>0</v>
      </c>
    </row>
    <row r="66" spans="1:17" x14ac:dyDescent="0.3">
      <c r="A66" t="s">
        <v>112</v>
      </c>
      <c r="B66" t="s">
        <v>346</v>
      </c>
      <c r="C66" t="s">
        <v>347</v>
      </c>
      <c r="D66" t="s">
        <v>347</v>
      </c>
      <c r="E66" t="s">
        <v>348</v>
      </c>
      <c r="F66" t="s">
        <v>349</v>
      </c>
      <c r="G66" t="s">
        <v>56</v>
      </c>
      <c r="H66" t="s">
        <v>207</v>
      </c>
      <c r="I66" t="s">
        <v>50</v>
      </c>
      <c r="J66" t="s">
        <v>51</v>
      </c>
      <c r="K66" t="s">
        <v>32</v>
      </c>
      <c r="L66">
        <v>-3</v>
      </c>
      <c r="M66">
        <v>37</v>
      </c>
      <c r="N66" t="s">
        <v>26</v>
      </c>
      <c r="O66" t="s">
        <v>27</v>
      </c>
      <c r="P66" t="s">
        <v>28</v>
      </c>
      <c r="Q66">
        <f>VLOOKUP(B66,Tabelle2!C:S,17,0)</f>
        <v>0</v>
      </c>
    </row>
    <row r="67" spans="1:17" x14ac:dyDescent="0.3">
      <c r="A67" t="s">
        <v>112</v>
      </c>
      <c r="B67" t="s">
        <v>350</v>
      </c>
      <c r="C67" t="s">
        <v>351</v>
      </c>
      <c r="D67" t="s">
        <v>351</v>
      </c>
      <c r="E67" t="s">
        <v>352</v>
      </c>
      <c r="F67" t="s">
        <v>349</v>
      </c>
      <c r="G67" t="s">
        <v>56</v>
      </c>
      <c r="H67" t="s">
        <v>207</v>
      </c>
      <c r="I67" t="s">
        <v>50</v>
      </c>
      <c r="J67" t="s">
        <v>51</v>
      </c>
      <c r="K67" t="s">
        <v>120</v>
      </c>
      <c r="L67">
        <v>-3</v>
      </c>
      <c r="M67">
        <v>37</v>
      </c>
      <c r="N67" t="s">
        <v>26</v>
      </c>
      <c r="O67" t="s">
        <v>27</v>
      </c>
      <c r="P67" t="s">
        <v>28</v>
      </c>
      <c r="Q67">
        <f>VLOOKUP(B67,Tabelle2!C:S,17,0)</f>
        <v>0</v>
      </c>
    </row>
    <row r="68" spans="1:17" x14ac:dyDescent="0.3">
      <c r="A68" t="s">
        <v>112</v>
      </c>
      <c r="B68" t="s">
        <v>353</v>
      </c>
      <c r="C68" t="s">
        <v>354</v>
      </c>
      <c r="D68" t="s">
        <v>354</v>
      </c>
      <c r="E68" t="s">
        <v>355</v>
      </c>
      <c r="F68" t="s">
        <v>356</v>
      </c>
      <c r="G68" t="s">
        <v>56</v>
      </c>
      <c r="H68" t="s">
        <v>342</v>
      </c>
      <c r="I68" t="s">
        <v>50</v>
      </c>
      <c r="J68" t="s">
        <v>51</v>
      </c>
      <c r="K68" t="s">
        <v>32</v>
      </c>
      <c r="L68">
        <v>-28</v>
      </c>
      <c r="M68">
        <v>24</v>
      </c>
      <c r="N68" t="s">
        <v>26</v>
      </c>
      <c r="O68" t="s">
        <v>27</v>
      </c>
      <c r="P68" t="s">
        <v>28</v>
      </c>
      <c r="Q68">
        <f>VLOOKUP(B68,Tabelle2!C:S,17,0)</f>
        <v>0</v>
      </c>
    </row>
    <row r="69" spans="1:17" x14ac:dyDescent="0.3">
      <c r="A69" t="s">
        <v>112</v>
      </c>
      <c r="B69" t="s">
        <v>357</v>
      </c>
      <c r="C69" t="s">
        <v>358</v>
      </c>
      <c r="D69" t="s">
        <v>358</v>
      </c>
      <c r="E69" t="s">
        <v>359</v>
      </c>
      <c r="F69" t="s">
        <v>356</v>
      </c>
      <c r="G69" t="s">
        <v>56</v>
      </c>
      <c r="H69" t="s">
        <v>342</v>
      </c>
      <c r="I69" t="s">
        <v>50</v>
      </c>
      <c r="J69" t="s">
        <v>51</v>
      </c>
      <c r="K69" t="s">
        <v>32</v>
      </c>
      <c r="L69">
        <v>-28</v>
      </c>
      <c r="M69">
        <v>24</v>
      </c>
      <c r="N69" t="s">
        <v>26</v>
      </c>
      <c r="O69" t="s">
        <v>27</v>
      </c>
      <c r="P69" t="s">
        <v>28</v>
      </c>
      <c r="Q69">
        <f>VLOOKUP(B69,Tabelle2!C:S,17,0)</f>
        <v>0</v>
      </c>
    </row>
    <row r="70" spans="1:17" x14ac:dyDescent="0.3">
      <c r="A70" t="s">
        <v>112</v>
      </c>
      <c r="B70" t="s">
        <v>360</v>
      </c>
      <c r="C70" t="s">
        <v>361</v>
      </c>
      <c r="D70" t="s">
        <v>361</v>
      </c>
      <c r="E70" t="s">
        <v>362</v>
      </c>
      <c r="F70" t="s">
        <v>363</v>
      </c>
      <c r="G70" t="s">
        <v>37</v>
      </c>
      <c r="H70" t="s">
        <v>65</v>
      </c>
      <c r="I70" t="s">
        <v>50</v>
      </c>
      <c r="J70" t="s">
        <v>51</v>
      </c>
      <c r="K70" t="s">
        <v>32</v>
      </c>
      <c r="L70">
        <v>43</v>
      </c>
      <c r="M70">
        <v>0</v>
      </c>
      <c r="N70" t="s">
        <v>26</v>
      </c>
      <c r="O70" t="s">
        <v>27</v>
      </c>
      <c r="P70" t="s">
        <v>28</v>
      </c>
      <c r="Q70">
        <f>VLOOKUP(B70,Tabelle2!C:S,17,0)</f>
        <v>0</v>
      </c>
    </row>
    <row r="71" spans="1:17" x14ac:dyDescent="0.3">
      <c r="A71" t="s">
        <v>112</v>
      </c>
      <c r="B71" t="s">
        <v>364</v>
      </c>
      <c r="C71" t="s">
        <v>365</v>
      </c>
      <c r="D71" t="s">
        <v>365</v>
      </c>
      <c r="E71" t="s">
        <v>366</v>
      </c>
      <c r="F71" t="s">
        <v>363</v>
      </c>
      <c r="G71" t="s">
        <v>37</v>
      </c>
      <c r="H71" t="s">
        <v>65</v>
      </c>
      <c r="I71" t="s">
        <v>50</v>
      </c>
      <c r="J71" t="s">
        <v>51</v>
      </c>
      <c r="K71" t="s">
        <v>120</v>
      </c>
      <c r="L71">
        <v>43</v>
      </c>
      <c r="M71">
        <v>0</v>
      </c>
      <c r="N71" t="s">
        <v>26</v>
      </c>
      <c r="O71" t="s">
        <v>27</v>
      </c>
      <c r="P71" t="s">
        <v>28</v>
      </c>
      <c r="Q71">
        <f>VLOOKUP(B71,Tabelle2!C:S,17,0)</f>
        <v>0</v>
      </c>
    </row>
    <row r="72" spans="1:17" x14ac:dyDescent="0.3">
      <c r="A72" t="s">
        <v>112</v>
      </c>
      <c r="B72" t="s">
        <v>367</v>
      </c>
      <c r="C72" t="s">
        <v>368</v>
      </c>
      <c r="D72" t="s">
        <v>368</v>
      </c>
      <c r="E72" t="s">
        <v>369</v>
      </c>
      <c r="F72" t="s">
        <v>370</v>
      </c>
      <c r="G72" t="s">
        <v>37</v>
      </c>
      <c r="H72" t="s">
        <v>371</v>
      </c>
      <c r="I72" t="s">
        <v>50</v>
      </c>
      <c r="J72" t="s">
        <v>51</v>
      </c>
      <c r="K72" t="s">
        <v>32</v>
      </c>
      <c r="L72">
        <v>31</v>
      </c>
      <c r="M72">
        <v>35</v>
      </c>
      <c r="N72" t="s">
        <v>26</v>
      </c>
      <c r="O72" t="s">
        <v>27</v>
      </c>
      <c r="P72" t="s">
        <v>28</v>
      </c>
      <c r="Q72">
        <f>VLOOKUP(B72,Tabelle2!C:S,17,0)</f>
        <v>0</v>
      </c>
    </row>
    <row r="73" spans="1:17" x14ac:dyDescent="0.3">
      <c r="A73" t="s">
        <v>112</v>
      </c>
      <c r="B73" t="s">
        <v>372</v>
      </c>
      <c r="C73" t="s">
        <v>373</v>
      </c>
      <c r="D73" t="s">
        <v>373</v>
      </c>
      <c r="E73" t="s">
        <v>374</v>
      </c>
      <c r="F73" t="s">
        <v>370</v>
      </c>
      <c r="G73" t="s">
        <v>37</v>
      </c>
      <c r="H73" t="s">
        <v>371</v>
      </c>
      <c r="I73" t="s">
        <v>50</v>
      </c>
      <c r="J73" t="s">
        <v>51</v>
      </c>
      <c r="K73" t="s">
        <v>120</v>
      </c>
      <c r="L73">
        <v>31</v>
      </c>
      <c r="M73">
        <v>35</v>
      </c>
      <c r="N73" t="s">
        <v>26</v>
      </c>
      <c r="O73" t="s">
        <v>27</v>
      </c>
      <c r="P73" t="s">
        <v>28</v>
      </c>
      <c r="Q73">
        <f>VLOOKUP(B73,Tabelle2!C:S,17,0)</f>
        <v>0</v>
      </c>
    </row>
    <row r="74" spans="1:17" x14ac:dyDescent="0.3">
      <c r="A74" t="s">
        <v>112</v>
      </c>
      <c r="B74" t="s">
        <v>375</v>
      </c>
      <c r="C74" t="s">
        <v>376</v>
      </c>
      <c r="D74" t="s">
        <v>376</v>
      </c>
      <c r="E74" t="s">
        <v>377</v>
      </c>
      <c r="F74" t="s">
        <v>378</v>
      </c>
      <c r="G74" t="s">
        <v>176</v>
      </c>
      <c r="H74" t="s">
        <v>379</v>
      </c>
      <c r="I74" t="s">
        <v>50</v>
      </c>
      <c r="J74" t="s">
        <v>300</v>
      </c>
      <c r="K74" t="s">
        <v>32</v>
      </c>
      <c r="L74">
        <v>23.7</v>
      </c>
      <c r="M74">
        <v>90.4</v>
      </c>
      <c r="N74" t="s">
        <v>26</v>
      </c>
      <c r="O74" t="s">
        <v>27</v>
      </c>
      <c r="P74" t="s">
        <v>28</v>
      </c>
      <c r="Q74">
        <f>VLOOKUP(B74,Tabelle2!C:S,17,0)</f>
        <v>0</v>
      </c>
    </row>
    <row r="75" spans="1:17" x14ac:dyDescent="0.3">
      <c r="A75" t="s">
        <v>112</v>
      </c>
      <c r="B75" t="s">
        <v>380</v>
      </c>
      <c r="C75" t="s">
        <v>381</v>
      </c>
      <c r="D75" t="s">
        <v>381</v>
      </c>
      <c r="E75" t="s">
        <v>382</v>
      </c>
      <c r="F75" t="s">
        <v>378</v>
      </c>
      <c r="G75" t="s">
        <v>176</v>
      </c>
      <c r="H75" t="s">
        <v>379</v>
      </c>
      <c r="I75" t="s">
        <v>50</v>
      </c>
      <c r="J75" t="s">
        <v>300</v>
      </c>
      <c r="K75" t="s">
        <v>120</v>
      </c>
      <c r="L75">
        <v>23.7</v>
      </c>
      <c r="M75">
        <v>90.4</v>
      </c>
      <c r="N75" t="s">
        <v>26</v>
      </c>
      <c r="O75" t="s">
        <v>27</v>
      </c>
      <c r="P75" t="s">
        <v>28</v>
      </c>
      <c r="Q75">
        <f>VLOOKUP(B75,Tabelle2!C:S,17,0)</f>
        <v>0</v>
      </c>
    </row>
    <row r="76" spans="1:17" x14ac:dyDescent="0.3">
      <c r="A76" t="s">
        <v>112</v>
      </c>
      <c r="B76" t="s">
        <v>383</v>
      </c>
      <c r="C76" t="s">
        <v>384</v>
      </c>
      <c r="D76" t="s">
        <v>384</v>
      </c>
      <c r="E76" t="s">
        <v>385</v>
      </c>
      <c r="F76" t="s">
        <v>386</v>
      </c>
      <c r="G76" t="s">
        <v>56</v>
      </c>
      <c r="H76" t="s">
        <v>387</v>
      </c>
      <c r="I76" t="s">
        <v>50</v>
      </c>
      <c r="J76" t="s">
        <v>51</v>
      </c>
      <c r="K76" t="s">
        <v>32</v>
      </c>
      <c r="L76">
        <v>4</v>
      </c>
      <c r="M76">
        <v>17</v>
      </c>
      <c r="N76" t="s">
        <v>26</v>
      </c>
      <c r="O76" t="s">
        <v>27</v>
      </c>
      <c r="P76" t="s">
        <v>28</v>
      </c>
      <c r="Q76">
        <f>VLOOKUP(B76,Tabelle2!C:S,17,0)</f>
        <v>0</v>
      </c>
    </row>
    <row r="77" spans="1:17" x14ac:dyDescent="0.3">
      <c r="A77" t="s">
        <v>112</v>
      </c>
      <c r="B77" t="s">
        <v>388</v>
      </c>
      <c r="C77" t="s">
        <v>389</v>
      </c>
      <c r="D77" t="s">
        <v>389</v>
      </c>
      <c r="E77" t="s">
        <v>390</v>
      </c>
      <c r="F77" t="s">
        <v>386</v>
      </c>
      <c r="G77" t="s">
        <v>56</v>
      </c>
      <c r="H77" t="s">
        <v>387</v>
      </c>
      <c r="I77" t="s">
        <v>50</v>
      </c>
      <c r="J77" t="s">
        <v>51</v>
      </c>
      <c r="K77" t="s">
        <v>32</v>
      </c>
      <c r="L77">
        <v>4</v>
      </c>
      <c r="M77">
        <v>17</v>
      </c>
      <c r="N77" t="s">
        <v>26</v>
      </c>
      <c r="O77" t="s">
        <v>27</v>
      </c>
      <c r="P77" t="s">
        <v>28</v>
      </c>
      <c r="Q77">
        <f>VLOOKUP(B77,Tabelle2!C:S,17,0)</f>
        <v>0</v>
      </c>
    </row>
    <row r="78" spans="1:17" x14ac:dyDescent="0.3">
      <c r="A78" t="s">
        <v>112</v>
      </c>
      <c r="B78" t="s">
        <v>391</v>
      </c>
      <c r="C78" t="s">
        <v>392</v>
      </c>
      <c r="D78" t="s">
        <v>392</v>
      </c>
      <c r="E78" t="s">
        <v>393</v>
      </c>
      <c r="F78" t="s">
        <v>394</v>
      </c>
      <c r="G78" t="s">
        <v>21</v>
      </c>
      <c r="H78" t="s">
        <v>101</v>
      </c>
      <c r="I78" t="s">
        <v>395</v>
      </c>
      <c r="J78" t="s">
        <v>51</v>
      </c>
      <c r="K78" t="s">
        <v>120</v>
      </c>
      <c r="L78">
        <v>-6</v>
      </c>
      <c r="M78">
        <v>155</v>
      </c>
      <c r="N78" t="s">
        <v>26</v>
      </c>
      <c r="O78" t="s">
        <v>27</v>
      </c>
      <c r="P78" t="s">
        <v>28</v>
      </c>
      <c r="Q78">
        <f>VLOOKUP(B78,Tabelle2!C:S,17,0)</f>
        <v>0</v>
      </c>
    </row>
    <row r="79" spans="1:17" x14ac:dyDescent="0.3">
      <c r="A79" t="s">
        <v>112</v>
      </c>
      <c r="B79" t="s">
        <v>396</v>
      </c>
      <c r="C79" t="s">
        <v>397</v>
      </c>
      <c r="D79" t="s">
        <v>397</v>
      </c>
      <c r="E79" t="s">
        <v>398</v>
      </c>
      <c r="F79" t="s">
        <v>394</v>
      </c>
      <c r="G79" t="s">
        <v>21</v>
      </c>
      <c r="H79" t="s">
        <v>101</v>
      </c>
      <c r="I79" t="s">
        <v>395</v>
      </c>
      <c r="J79" t="s">
        <v>51</v>
      </c>
      <c r="K79" t="s">
        <v>120</v>
      </c>
      <c r="L79">
        <v>-6</v>
      </c>
      <c r="M79">
        <v>155</v>
      </c>
      <c r="N79" t="s">
        <v>26</v>
      </c>
      <c r="O79" t="s">
        <v>27</v>
      </c>
      <c r="P79" t="s">
        <v>28</v>
      </c>
      <c r="Q79">
        <f>VLOOKUP(B79,Tabelle2!C:S,17,0)</f>
        <v>0</v>
      </c>
    </row>
    <row r="80" spans="1:17" x14ac:dyDescent="0.3">
      <c r="A80" t="s">
        <v>112</v>
      </c>
      <c r="B80" t="s">
        <v>399</v>
      </c>
      <c r="C80" t="s">
        <v>400</v>
      </c>
      <c r="D80" t="s">
        <v>400</v>
      </c>
      <c r="E80" t="s">
        <v>401</v>
      </c>
      <c r="F80" t="s">
        <v>402</v>
      </c>
      <c r="G80" t="s">
        <v>176</v>
      </c>
      <c r="H80" t="s">
        <v>177</v>
      </c>
      <c r="I80" t="s">
        <v>403</v>
      </c>
      <c r="J80" t="s">
        <v>178</v>
      </c>
      <c r="K80" t="s">
        <v>32</v>
      </c>
      <c r="L80">
        <v>17.7</v>
      </c>
      <c r="M80">
        <v>83.3</v>
      </c>
      <c r="N80" t="s">
        <v>121</v>
      </c>
      <c r="O80" t="s">
        <v>27</v>
      </c>
      <c r="P80" t="s">
        <v>28</v>
      </c>
      <c r="Q80">
        <f>VLOOKUP(B80,Tabelle2!C:S,17,0)</f>
        <v>0</v>
      </c>
    </row>
    <row r="81" spans="1:17" x14ac:dyDescent="0.3">
      <c r="A81" t="s">
        <v>112</v>
      </c>
      <c r="B81" t="s">
        <v>404</v>
      </c>
      <c r="C81" t="s">
        <v>405</v>
      </c>
      <c r="D81" t="s">
        <v>405</v>
      </c>
      <c r="E81" t="s">
        <v>406</v>
      </c>
      <c r="F81" t="s">
        <v>402</v>
      </c>
      <c r="G81" t="s">
        <v>176</v>
      </c>
      <c r="H81" t="s">
        <v>177</v>
      </c>
      <c r="I81" t="s">
        <v>403</v>
      </c>
      <c r="J81" t="s">
        <v>178</v>
      </c>
      <c r="K81" t="s">
        <v>32</v>
      </c>
      <c r="L81">
        <v>17.7</v>
      </c>
      <c r="M81">
        <v>83.3</v>
      </c>
      <c r="N81" t="s">
        <v>121</v>
      </c>
      <c r="O81" t="s">
        <v>27</v>
      </c>
      <c r="P81" t="s">
        <v>28</v>
      </c>
      <c r="Q81">
        <f>VLOOKUP(B81,Tabelle2!C:S,17,0)</f>
        <v>0</v>
      </c>
    </row>
    <row r="82" spans="1:17" x14ac:dyDescent="0.3">
      <c r="A82" t="s">
        <v>112</v>
      </c>
      <c r="B82" t="s">
        <v>407</v>
      </c>
      <c r="C82" t="s">
        <v>408</v>
      </c>
      <c r="D82" t="s">
        <v>408</v>
      </c>
      <c r="E82" t="s">
        <v>409</v>
      </c>
      <c r="F82" t="s">
        <v>410</v>
      </c>
      <c r="G82" t="s">
        <v>176</v>
      </c>
      <c r="H82" t="s">
        <v>225</v>
      </c>
      <c r="I82" t="s">
        <v>50</v>
      </c>
      <c r="J82" t="s">
        <v>51</v>
      </c>
      <c r="K82" t="s">
        <v>32</v>
      </c>
      <c r="L82">
        <v>30.5</v>
      </c>
      <c r="M82">
        <v>66.5</v>
      </c>
      <c r="N82" t="s">
        <v>26</v>
      </c>
      <c r="O82" t="s">
        <v>27</v>
      </c>
      <c r="P82" t="s">
        <v>28</v>
      </c>
      <c r="Q82">
        <f>VLOOKUP(B82,Tabelle2!C:S,17,0)</f>
        <v>0</v>
      </c>
    </row>
    <row r="83" spans="1:17" x14ac:dyDescent="0.3">
      <c r="A83" t="s">
        <v>112</v>
      </c>
      <c r="B83" t="s">
        <v>411</v>
      </c>
      <c r="C83" t="s">
        <v>412</v>
      </c>
      <c r="D83" t="s">
        <v>412</v>
      </c>
      <c r="E83" t="s">
        <v>413</v>
      </c>
      <c r="F83" t="s">
        <v>410</v>
      </c>
      <c r="G83" t="s">
        <v>176</v>
      </c>
      <c r="H83" t="s">
        <v>225</v>
      </c>
      <c r="I83" t="s">
        <v>50</v>
      </c>
      <c r="J83" t="s">
        <v>51</v>
      </c>
      <c r="K83" t="s">
        <v>32</v>
      </c>
      <c r="L83">
        <v>30.5</v>
      </c>
      <c r="M83">
        <v>66.5</v>
      </c>
      <c r="N83" t="s">
        <v>26</v>
      </c>
      <c r="O83" t="s">
        <v>27</v>
      </c>
      <c r="P83" t="s">
        <v>28</v>
      </c>
      <c r="Q83">
        <f>VLOOKUP(B83,Tabelle2!C:S,17,0)</f>
        <v>0</v>
      </c>
    </row>
    <row r="84" spans="1:17" x14ac:dyDescent="0.3">
      <c r="A84" t="s">
        <v>112</v>
      </c>
      <c r="B84" t="s">
        <v>414</v>
      </c>
      <c r="C84" t="s">
        <v>415</v>
      </c>
      <c r="D84" t="s">
        <v>415</v>
      </c>
      <c r="E84" t="s">
        <v>416</v>
      </c>
      <c r="F84" t="s">
        <v>417</v>
      </c>
      <c r="G84" t="s">
        <v>37</v>
      </c>
      <c r="H84" t="s">
        <v>418</v>
      </c>
      <c r="I84" t="s">
        <v>419</v>
      </c>
      <c r="J84" t="s">
        <v>420</v>
      </c>
      <c r="K84" t="s">
        <v>32</v>
      </c>
      <c r="L84">
        <v>42.162999999999997</v>
      </c>
      <c r="M84">
        <v>24.741</v>
      </c>
      <c r="N84" t="s">
        <v>121</v>
      </c>
      <c r="O84" t="s">
        <v>27</v>
      </c>
      <c r="P84" t="s">
        <v>28</v>
      </c>
      <c r="Q84">
        <f>VLOOKUP(B84,Tabelle2!C:S,17,0)</f>
        <v>0</v>
      </c>
    </row>
    <row r="85" spans="1:17" x14ac:dyDescent="0.3">
      <c r="A85" t="s">
        <v>112</v>
      </c>
      <c r="B85" t="s">
        <v>421</v>
      </c>
      <c r="C85" t="s">
        <v>422</v>
      </c>
      <c r="D85" t="s">
        <v>422</v>
      </c>
      <c r="E85" t="s">
        <v>423</v>
      </c>
      <c r="F85" t="s">
        <v>417</v>
      </c>
      <c r="G85" t="s">
        <v>37</v>
      </c>
      <c r="H85" t="s">
        <v>418</v>
      </c>
      <c r="I85" t="s">
        <v>419</v>
      </c>
      <c r="J85" t="s">
        <v>420</v>
      </c>
      <c r="K85" t="s">
        <v>32</v>
      </c>
      <c r="L85">
        <v>42.162999999999997</v>
      </c>
      <c r="M85">
        <v>24.741</v>
      </c>
      <c r="N85" t="s">
        <v>121</v>
      </c>
      <c r="O85" t="s">
        <v>27</v>
      </c>
      <c r="P85" t="s">
        <v>28</v>
      </c>
      <c r="Q85">
        <f>VLOOKUP(B85,Tabelle2!C:S,17,0)</f>
        <v>0</v>
      </c>
    </row>
    <row r="86" spans="1:17" x14ac:dyDescent="0.3">
      <c r="A86" t="s">
        <v>112</v>
      </c>
      <c r="B86" t="s">
        <v>424</v>
      </c>
      <c r="C86" t="s">
        <v>425</v>
      </c>
      <c r="D86" t="s">
        <v>425</v>
      </c>
      <c r="E86" t="s">
        <v>426</v>
      </c>
      <c r="F86" t="s">
        <v>427</v>
      </c>
      <c r="G86" t="s">
        <v>48</v>
      </c>
      <c r="H86" t="s">
        <v>428</v>
      </c>
      <c r="I86" t="s">
        <v>429</v>
      </c>
      <c r="J86" t="s">
        <v>430</v>
      </c>
      <c r="K86" t="s">
        <v>32</v>
      </c>
      <c r="L86">
        <v>17</v>
      </c>
      <c r="M86">
        <v>96.7</v>
      </c>
      <c r="N86" t="s">
        <v>60</v>
      </c>
      <c r="O86" t="s">
        <v>27</v>
      </c>
      <c r="P86" t="s">
        <v>28</v>
      </c>
      <c r="Q86">
        <f>VLOOKUP(B86,Tabelle2!C:S,17,0)</f>
        <v>0</v>
      </c>
    </row>
    <row r="87" spans="1:17" x14ac:dyDescent="0.3">
      <c r="A87" t="s">
        <v>112</v>
      </c>
      <c r="B87" t="s">
        <v>431</v>
      </c>
      <c r="C87" t="s">
        <v>432</v>
      </c>
      <c r="D87" t="s">
        <v>432</v>
      </c>
      <c r="E87" t="s">
        <v>433</v>
      </c>
      <c r="F87" t="s">
        <v>427</v>
      </c>
      <c r="G87" t="s">
        <v>48</v>
      </c>
      <c r="H87" t="s">
        <v>428</v>
      </c>
      <c r="I87" t="s">
        <v>434</v>
      </c>
      <c r="J87" t="s">
        <v>430</v>
      </c>
      <c r="K87" t="s">
        <v>32</v>
      </c>
      <c r="L87">
        <v>17</v>
      </c>
      <c r="M87">
        <v>96.7</v>
      </c>
      <c r="N87" t="s">
        <v>60</v>
      </c>
      <c r="O87" t="s">
        <v>27</v>
      </c>
      <c r="P87" t="s">
        <v>28</v>
      </c>
      <c r="Q87">
        <f>VLOOKUP(B87,Tabelle2!C:S,17,0)</f>
        <v>0</v>
      </c>
    </row>
    <row r="88" spans="1:17" x14ac:dyDescent="0.3">
      <c r="A88" t="s">
        <v>112</v>
      </c>
      <c r="B88" t="s">
        <v>435</v>
      </c>
      <c r="C88" t="s">
        <v>436</v>
      </c>
      <c r="D88" t="s">
        <v>436</v>
      </c>
      <c r="E88" t="s">
        <v>437</v>
      </c>
      <c r="F88" t="s">
        <v>438</v>
      </c>
      <c r="G88" t="s">
        <v>176</v>
      </c>
      <c r="H88" t="s">
        <v>225</v>
      </c>
      <c r="I88" t="s">
        <v>50</v>
      </c>
      <c r="J88" t="s">
        <v>51</v>
      </c>
      <c r="K88" t="s">
        <v>32</v>
      </c>
      <c r="L88">
        <v>36.5</v>
      </c>
      <c r="M88">
        <v>74</v>
      </c>
      <c r="N88" t="s">
        <v>26</v>
      </c>
      <c r="O88" t="s">
        <v>27</v>
      </c>
      <c r="P88" t="s">
        <v>28</v>
      </c>
      <c r="Q88">
        <f>VLOOKUP(B88,Tabelle2!C:S,17,0)</f>
        <v>0</v>
      </c>
    </row>
    <row r="89" spans="1:17" x14ac:dyDescent="0.3">
      <c r="A89" t="s">
        <v>112</v>
      </c>
      <c r="B89" t="s">
        <v>439</v>
      </c>
      <c r="C89" t="s">
        <v>440</v>
      </c>
      <c r="D89" t="s">
        <v>440</v>
      </c>
      <c r="E89" t="s">
        <v>441</v>
      </c>
      <c r="F89" t="s">
        <v>438</v>
      </c>
      <c r="G89" t="s">
        <v>176</v>
      </c>
      <c r="H89" t="s">
        <v>225</v>
      </c>
      <c r="I89" t="s">
        <v>50</v>
      </c>
      <c r="J89" t="s">
        <v>51</v>
      </c>
      <c r="K89" t="s">
        <v>120</v>
      </c>
      <c r="L89">
        <v>36.5</v>
      </c>
      <c r="M89">
        <v>74</v>
      </c>
      <c r="N89" t="s">
        <v>26</v>
      </c>
      <c r="O89" t="s">
        <v>27</v>
      </c>
      <c r="P89" t="s">
        <v>28</v>
      </c>
      <c r="Q89">
        <f>VLOOKUP(B89,Tabelle2!C:S,17,0)</f>
        <v>0</v>
      </c>
    </row>
    <row r="90" spans="1:17" x14ac:dyDescent="0.3">
      <c r="A90" t="s">
        <v>112</v>
      </c>
      <c r="B90" t="s">
        <v>442</v>
      </c>
      <c r="C90" t="s">
        <v>443</v>
      </c>
      <c r="D90" t="s">
        <v>443</v>
      </c>
      <c r="E90" t="s">
        <v>444</v>
      </c>
      <c r="F90" t="s">
        <v>445</v>
      </c>
      <c r="G90" t="s">
        <v>48</v>
      </c>
      <c r="H90" t="s">
        <v>446</v>
      </c>
      <c r="I90" t="s">
        <v>50</v>
      </c>
      <c r="J90" t="s">
        <v>51</v>
      </c>
      <c r="K90" t="s">
        <v>32</v>
      </c>
      <c r="L90">
        <v>12</v>
      </c>
      <c r="M90">
        <v>105</v>
      </c>
      <c r="N90" t="s">
        <v>26</v>
      </c>
      <c r="O90" t="s">
        <v>27</v>
      </c>
      <c r="P90" t="s">
        <v>28</v>
      </c>
      <c r="Q90">
        <f>VLOOKUP(B90,Tabelle2!C:S,17,0)</f>
        <v>0</v>
      </c>
    </row>
    <row r="91" spans="1:17" x14ac:dyDescent="0.3">
      <c r="A91" t="s">
        <v>112</v>
      </c>
      <c r="B91" t="s">
        <v>447</v>
      </c>
      <c r="C91" t="s">
        <v>448</v>
      </c>
      <c r="D91" t="s">
        <v>448</v>
      </c>
      <c r="E91" t="s">
        <v>449</v>
      </c>
      <c r="F91" t="s">
        <v>445</v>
      </c>
      <c r="G91" t="s">
        <v>48</v>
      </c>
      <c r="H91" t="s">
        <v>446</v>
      </c>
      <c r="I91" t="s">
        <v>50</v>
      </c>
      <c r="J91" t="s">
        <v>51</v>
      </c>
      <c r="K91" t="s">
        <v>120</v>
      </c>
      <c r="L91">
        <v>12</v>
      </c>
      <c r="M91">
        <v>105</v>
      </c>
      <c r="N91" t="s">
        <v>26</v>
      </c>
      <c r="O91" t="s">
        <v>27</v>
      </c>
      <c r="P91" t="s">
        <v>28</v>
      </c>
      <c r="Q91">
        <f>VLOOKUP(B91,Tabelle2!C:S,17,0)</f>
        <v>0</v>
      </c>
    </row>
    <row r="92" spans="1:17" x14ac:dyDescent="0.3">
      <c r="A92" t="s">
        <v>112</v>
      </c>
      <c r="B92" t="s">
        <v>450</v>
      </c>
      <c r="C92" t="s">
        <v>451</v>
      </c>
      <c r="D92" t="s">
        <v>452</v>
      </c>
      <c r="E92" t="s">
        <v>453</v>
      </c>
      <c r="F92" t="s">
        <v>55</v>
      </c>
      <c r="G92" t="s">
        <v>56</v>
      </c>
      <c r="H92" t="s">
        <v>57</v>
      </c>
      <c r="I92" t="s">
        <v>58</v>
      </c>
      <c r="J92" t="s">
        <v>59</v>
      </c>
      <c r="K92" t="s">
        <v>32</v>
      </c>
      <c r="L92">
        <v>8.8000000000000007</v>
      </c>
      <c r="M92">
        <v>27.4</v>
      </c>
      <c r="N92" t="s">
        <v>60</v>
      </c>
      <c r="O92" t="s">
        <v>27</v>
      </c>
      <c r="P92" t="s">
        <v>28</v>
      </c>
      <c r="Q92">
        <f>VLOOKUP(B92,Tabelle2!C:S,17,0)</f>
        <v>0</v>
      </c>
    </row>
    <row r="93" spans="1:17" x14ac:dyDescent="0.3">
      <c r="A93" t="s">
        <v>112</v>
      </c>
      <c r="B93" t="s">
        <v>454</v>
      </c>
      <c r="C93" t="s">
        <v>455</v>
      </c>
      <c r="D93" t="s">
        <v>455</v>
      </c>
      <c r="E93" t="s">
        <v>456</v>
      </c>
      <c r="F93" t="s">
        <v>55</v>
      </c>
      <c r="G93" t="s">
        <v>56</v>
      </c>
      <c r="H93" t="s">
        <v>57</v>
      </c>
      <c r="I93" t="s">
        <v>58</v>
      </c>
      <c r="J93" t="s">
        <v>59</v>
      </c>
      <c r="K93" t="s">
        <v>32</v>
      </c>
      <c r="L93">
        <v>8.8000000000000007</v>
      </c>
      <c r="M93">
        <v>27.4</v>
      </c>
      <c r="N93" t="s">
        <v>60</v>
      </c>
      <c r="O93" t="s">
        <v>27</v>
      </c>
      <c r="P93" t="s">
        <v>28</v>
      </c>
      <c r="Q93">
        <f>VLOOKUP(B93,Tabelle2!C:S,17,0)</f>
        <v>0</v>
      </c>
    </row>
    <row r="94" spans="1:17" x14ac:dyDescent="0.3">
      <c r="A94" t="s">
        <v>112</v>
      </c>
      <c r="B94" t="s">
        <v>457</v>
      </c>
      <c r="C94" t="s">
        <v>458</v>
      </c>
      <c r="D94" t="s">
        <v>458</v>
      </c>
      <c r="E94" t="s">
        <v>459</v>
      </c>
      <c r="F94" t="s">
        <v>460</v>
      </c>
      <c r="G94" t="s">
        <v>37</v>
      </c>
      <c r="H94" t="s">
        <v>461</v>
      </c>
      <c r="I94" t="s">
        <v>50</v>
      </c>
      <c r="J94" t="s">
        <v>51</v>
      </c>
      <c r="K94" t="s">
        <v>120</v>
      </c>
      <c r="L94">
        <v>32</v>
      </c>
      <c r="M94">
        <v>35</v>
      </c>
      <c r="N94" t="s">
        <v>26</v>
      </c>
      <c r="O94" t="s">
        <v>27</v>
      </c>
      <c r="P94" t="s">
        <v>28</v>
      </c>
      <c r="Q94">
        <f>VLOOKUP(B94,Tabelle2!C:S,17,0)</f>
        <v>0</v>
      </c>
    </row>
    <row r="95" spans="1:17" x14ac:dyDescent="0.3">
      <c r="A95" t="s">
        <v>112</v>
      </c>
      <c r="B95" t="s">
        <v>462</v>
      </c>
      <c r="C95" t="s">
        <v>463</v>
      </c>
      <c r="D95" t="s">
        <v>463</v>
      </c>
      <c r="E95" t="s">
        <v>464</v>
      </c>
      <c r="F95" t="s">
        <v>460</v>
      </c>
      <c r="G95" t="s">
        <v>37</v>
      </c>
      <c r="H95" t="s">
        <v>461</v>
      </c>
      <c r="I95" t="s">
        <v>50</v>
      </c>
      <c r="J95" t="s">
        <v>51</v>
      </c>
      <c r="K95" t="s">
        <v>32</v>
      </c>
      <c r="L95">
        <v>32</v>
      </c>
      <c r="M95">
        <v>35</v>
      </c>
      <c r="N95" t="s">
        <v>26</v>
      </c>
      <c r="O95" t="s">
        <v>27</v>
      </c>
      <c r="P95" t="s">
        <v>28</v>
      </c>
      <c r="Q95">
        <f>VLOOKUP(B95,Tabelle2!C:S,17,0)</f>
        <v>0</v>
      </c>
    </row>
    <row r="96" spans="1:17" x14ac:dyDescent="0.3">
      <c r="A96" t="s">
        <v>112</v>
      </c>
      <c r="B96" t="s">
        <v>465</v>
      </c>
      <c r="C96" t="s">
        <v>466</v>
      </c>
      <c r="D96" t="s">
        <v>466</v>
      </c>
      <c r="E96" t="s">
        <v>467</v>
      </c>
      <c r="F96" t="s">
        <v>468</v>
      </c>
      <c r="G96" t="s">
        <v>21</v>
      </c>
      <c r="H96" t="s">
        <v>469</v>
      </c>
      <c r="I96" t="s">
        <v>470</v>
      </c>
      <c r="J96" t="s">
        <v>471</v>
      </c>
      <c r="K96" t="s">
        <v>120</v>
      </c>
      <c r="L96">
        <v>4.7</v>
      </c>
      <c r="M96">
        <v>114.7</v>
      </c>
      <c r="N96" t="s">
        <v>60</v>
      </c>
      <c r="O96" t="s">
        <v>27</v>
      </c>
      <c r="P96" t="s">
        <v>28</v>
      </c>
      <c r="Q96">
        <f>VLOOKUP(B96,Tabelle2!C:S,17,0)</f>
        <v>0</v>
      </c>
    </row>
    <row r="97" spans="1:17" x14ac:dyDescent="0.3">
      <c r="A97" t="s">
        <v>112</v>
      </c>
      <c r="B97" t="s">
        <v>472</v>
      </c>
      <c r="C97" t="s">
        <v>473</v>
      </c>
      <c r="D97" t="s">
        <v>473</v>
      </c>
      <c r="E97" t="s">
        <v>474</v>
      </c>
      <c r="F97" t="s">
        <v>468</v>
      </c>
      <c r="G97" t="s">
        <v>21</v>
      </c>
      <c r="H97" t="s">
        <v>469</v>
      </c>
      <c r="I97" t="s">
        <v>475</v>
      </c>
      <c r="Q97">
        <f>VLOOKUP(B97,Tabelle2!C:S,17,0)</f>
        <v>0</v>
      </c>
    </row>
    <row r="98" spans="1:17" x14ac:dyDescent="0.3">
      <c r="A98" t="s">
        <v>112</v>
      </c>
      <c r="B98" t="s">
        <v>476</v>
      </c>
      <c r="C98" t="s">
        <v>477</v>
      </c>
      <c r="D98" t="s">
        <v>477</v>
      </c>
      <c r="E98" t="s">
        <v>478</v>
      </c>
      <c r="F98" t="s">
        <v>479</v>
      </c>
      <c r="G98" t="s">
        <v>37</v>
      </c>
      <c r="H98" t="s">
        <v>480</v>
      </c>
      <c r="I98" t="s">
        <v>481</v>
      </c>
      <c r="J98" t="s">
        <v>300</v>
      </c>
      <c r="K98" t="s">
        <v>32</v>
      </c>
      <c r="L98">
        <v>51.2</v>
      </c>
      <c r="M98">
        <v>0.7</v>
      </c>
      <c r="N98" t="s">
        <v>26</v>
      </c>
      <c r="O98" t="s">
        <v>27</v>
      </c>
      <c r="P98" t="s">
        <v>28</v>
      </c>
      <c r="Q98">
        <f>VLOOKUP(B98,Tabelle2!C:S,17,0)</f>
        <v>0</v>
      </c>
    </row>
    <row r="99" spans="1:17" x14ac:dyDescent="0.3">
      <c r="A99" t="s">
        <v>112</v>
      </c>
      <c r="B99" t="s">
        <v>482</v>
      </c>
      <c r="C99" t="s">
        <v>483</v>
      </c>
      <c r="D99" t="s">
        <v>483</v>
      </c>
      <c r="E99" t="s">
        <v>484</v>
      </c>
      <c r="F99" t="s">
        <v>479</v>
      </c>
      <c r="G99" t="s">
        <v>37</v>
      </c>
      <c r="H99" t="s">
        <v>480</v>
      </c>
      <c r="I99" t="s">
        <v>481</v>
      </c>
      <c r="J99" t="s">
        <v>300</v>
      </c>
      <c r="K99" t="s">
        <v>120</v>
      </c>
      <c r="L99">
        <v>51.2</v>
      </c>
      <c r="M99">
        <v>0.7</v>
      </c>
      <c r="N99" t="s">
        <v>26</v>
      </c>
      <c r="O99" t="s">
        <v>27</v>
      </c>
      <c r="P99" t="s">
        <v>28</v>
      </c>
      <c r="Q99">
        <f>VLOOKUP(B99,Tabelle2!C:S,17,0)</f>
        <v>0</v>
      </c>
    </row>
    <row r="100" spans="1:17" x14ac:dyDescent="0.3">
      <c r="A100" t="s">
        <v>112</v>
      </c>
      <c r="B100" t="s">
        <v>485</v>
      </c>
      <c r="C100" t="s">
        <v>486</v>
      </c>
      <c r="D100" t="s">
        <v>486</v>
      </c>
      <c r="E100" t="s">
        <v>487</v>
      </c>
      <c r="F100" t="s">
        <v>488</v>
      </c>
      <c r="G100" t="s">
        <v>56</v>
      </c>
      <c r="H100" t="s">
        <v>111</v>
      </c>
      <c r="I100" t="s">
        <v>50</v>
      </c>
      <c r="J100" t="s">
        <v>300</v>
      </c>
      <c r="K100" t="s">
        <v>32</v>
      </c>
      <c r="L100">
        <v>6.5</v>
      </c>
      <c r="M100">
        <v>6</v>
      </c>
      <c r="N100" t="s">
        <v>26</v>
      </c>
      <c r="O100" t="s">
        <v>27</v>
      </c>
      <c r="P100" t="s">
        <v>28</v>
      </c>
      <c r="Q100">
        <f>VLOOKUP(B100,Tabelle2!C:S,17,0)</f>
        <v>0</v>
      </c>
    </row>
    <row r="101" spans="1:17" x14ac:dyDescent="0.3">
      <c r="A101" t="s">
        <v>112</v>
      </c>
      <c r="B101" t="s">
        <v>489</v>
      </c>
      <c r="C101" t="s">
        <v>490</v>
      </c>
      <c r="D101" t="s">
        <v>490</v>
      </c>
      <c r="E101" t="s">
        <v>491</v>
      </c>
      <c r="F101" t="s">
        <v>488</v>
      </c>
      <c r="G101" t="s">
        <v>56</v>
      </c>
      <c r="H101" t="s">
        <v>111</v>
      </c>
      <c r="I101" t="s">
        <v>50</v>
      </c>
      <c r="J101" t="s">
        <v>300</v>
      </c>
      <c r="K101" t="s">
        <v>120</v>
      </c>
      <c r="L101">
        <v>6.5</v>
      </c>
      <c r="M101">
        <v>6</v>
      </c>
      <c r="N101" t="s">
        <v>26</v>
      </c>
      <c r="O101" t="s">
        <v>27</v>
      </c>
      <c r="P101" t="s">
        <v>28</v>
      </c>
      <c r="Q101">
        <f>VLOOKUP(B101,Tabelle2!C:S,17,0)</f>
        <v>0</v>
      </c>
    </row>
    <row r="102" spans="1:17" x14ac:dyDescent="0.3">
      <c r="A102" t="s">
        <v>112</v>
      </c>
      <c r="B102" t="s">
        <v>492</v>
      </c>
      <c r="C102" t="s">
        <v>493</v>
      </c>
      <c r="D102" t="s">
        <v>493</v>
      </c>
      <c r="E102" t="s">
        <v>494</v>
      </c>
      <c r="F102" t="s">
        <v>495</v>
      </c>
      <c r="G102" t="s">
        <v>126</v>
      </c>
      <c r="H102" t="s">
        <v>127</v>
      </c>
      <c r="I102" t="s">
        <v>496</v>
      </c>
      <c r="Q102">
        <f>VLOOKUP(B102,Tabelle2!C:S,17,0)</f>
        <v>0</v>
      </c>
    </row>
    <row r="103" spans="1:17" x14ac:dyDescent="0.3">
      <c r="A103" t="s">
        <v>112</v>
      </c>
      <c r="B103" t="s">
        <v>497</v>
      </c>
      <c r="C103" t="s">
        <v>498</v>
      </c>
      <c r="D103" t="s">
        <v>498</v>
      </c>
      <c r="E103" t="s">
        <v>499</v>
      </c>
      <c r="F103" t="s">
        <v>495</v>
      </c>
      <c r="G103" t="s">
        <v>126</v>
      </c>
      <c r="H103" t="s">
        <v>127</v>
      </c>
      <c r="I103" t="s">
        <v>500</v>
      </c>
      <c r="Q103">
        <f>VLOOKUP(B103,Tabelle2!C:S,17,0)</f>
        <v>0</v>
      </c>
    </row>
    <row r="104" spans="1:17" x14ac:dyDescent="0.3">
      <c r="A104" t="s">
        <v>112</v>
      </c>
      <c r="B104" t="s">
        <v>501</v>
      </c>
      <c r="C104" t="s">
        <v>502</v>
      </c>
      <c r="D104" t="s">
        <v>502</v>
      </c>
      <c r="E104" t="s">
        <v>503</v>
      </c>
      <c r="F104" t="s">
        <v>504</v>
      </c>
      <c r="G104" t="s">
        <v>126</v>
      </c>
      <c r="H104" t="s">
        <v>127</v>
      </c>
      <c r="I104" t="s">
        <v>151</v>
      </c>
      <c r="Q104">
        <f>VLOOKUP(B104,Tabelle2!C:S,17,0)</f>
        <v>0</v>
      </c>
    </row>
    <row r="105" spans="1:17" x14ac:dyDescent="0.3">
      <c r="A105" t="s">
        <v>112</v>
      </c>
      <c r="B105" t="s">
        <v>505</v>
      </c>
      <c r="C105" t="s">
        <v>506</v>
      </c>
      <c r="D105" t="s">
        <v>506</v>
      </c>
      <c r="E105" t="s">
        <v>507</v>
      </c>
      <c r="F105" t="s">
        <v>504</v>
      </c>
      <c r="G105" t="s">
        <v>126</v>
      </c>
      <c r="H105" t="s">
        <v>127</v>
      </c>
      <c r="I105" t="s">
        <v>151</v>
      </c>
      <c r="Q105">
        <f>VLOOKUP(B105,Tabelle2!C:S,17,0)</f>
        <v>0</v>
      </c>
    </row>
    <row r="106" spans="1:17" x14ac:dyDescent="0.3">
      <c r="A106" t="s">
        <v>112</v>
      </c>
      <c r="B106" t="s">
        <v>508</v>
      </c>
      <c r="C106" t="s">
        <v>509</v>
      </c>
      <c r="D106" t="s">
        <v>509</v>
      </c>
      <c r="E106" t="s">
        <v>510</v>
      </c>
      <c r="F106" t="s">
        <v>511</v>
      </c>
      <c r="G106" t="s">
        <v>37</v>
      </c>
      <c r="H106" t="s">
        <v>512</v>
      </c>
      <c r="I106" t="s">
        <v>513</v>
      </c>
      <c r="J106" t="s">
        <v>286</v>
      </c>
      <c r="K106" t="s">
        <v>32</v>
      </c>
      <c r="L106">
        <v>58.386000000000003</v>
      </c>
      <c r="M106">
        <v>24.501999999999999</v>
      </c>
      <c r="N106" t="s">
        <v>121</v>
      </c>
      <c r="O106" t="s">
        <v>27</v>
      </c>
      <c r="P106" t="s">
        <v>28</v>
      </c>
      <c r="Q106">
        <f>VLOOKUP(B106,Tabelle2!C:S,17,0)</f>
        <v>0</v>
      </c>
    </row>
    <row r="107" spans="1:17" x14ac:dyDescent="0.3">
      <c r="A107" t="s">
        <v>112</v>
      </c>
      <c r="B107" t="s">
        <v>514</v>
      </c>
      <c r="C107" t="s">
        <v>515</v>
      </c>
      <c r="D107" t="s">
        <v>515</v>
      </c>
      <c r="E107" t="s">
        <v>516</v>
      </c>
      <c r="F107" t="s">
        <v>511</v>
      </c>
      <c r="G107" t="s">
        <v>37</v>
      </c>
      <c r="H107" t="s">
        <v>512</v>
      </c>
      <c r="I107" t="s">
        <v>517</v>
      </c>
      <c r="J107" t="s">
        <v>286</v>
      </c>
      <c r="K107" t="s">
        <v>32</v>
      </c>
      <c r="L107">
        <v>58.984999999999999</v>
      </c>
      <c r="M107">
        <v>26.864000000000001</v>
      </c>
      <c r="N107" t="s">
        <v>121</v>
      </c>
      <c r="O107" t="s">
        <v>27</v>
      </c>
      <c r="P107" t="s">
        <v>28</v>
      </c>
      <c r="Q107">
        <f>VLOOKUP(B107,Tabelle2!C:S,17,0)</f>
        <v>0</v>
      </c>
    </row>
    <row r="108" spans="1:17" x14ac:dyDescent="0.3">
      <c r="A108" t="s">
        <v>112</v>
      </c>
      <c r="B108" t="s">
        <v>518</v>
      </c>
      <c r="C108" t="s">
        <v>519</v>
      </c>
      <c r="D108" t="s">
        <v>519</v>
      </c>
      <c r="E108" t="s">
        <v>520</v>
      </c>
      <c r="F108" t="s">
        <v>64</v>
      </c>
      <c r="G108" t="s">
        <v>37</v>
      </c>
      <c r="H108" t="s">
        <v>65</v>
      </c>
      <c r="I108" t="s">
        <v>50</v>
      </c>
      <c r="J108" t="s">
        <v>51</v>
      </c>
      <c r="K108" t="s">
        <v>32</v>
      </c>
      <c r="L108">
        <v>46</v>
      </c>
      <c r="M108">
        <v>2</v>
      </c>
      <c r="N108" t="s">
        <v>26</v>
      </c>
      <c r="O108" t="s">
        <v>27</v>
      </c>
      <c r="P108" t="s">
        <v>28</v>
      </c>
      <c r="Q108">
        <f>VLOOKUP(B108,Tabelle2!C:S,17,0)</f>
        <v>0</v>
      </c>
    </row>
    <row r="109" spans="1:17" x14ac:dyDescent="0.3">
      <c r="A109" t="s">
        <v>112</v>
      </c>
      <c r="B109" t="s">
        <v>521</v>
      </c>
      <c r="C109" t="s">
        <v>522</v>
      </c>
      <c r="D109" t="s">
        <v>522</v>
      </c>
      <c r="E109" t="s">
        <v>523</v>
      </c>
      <c r="F109" t="s">
        <v>64</v>
      </c>
      <c r="G109" t="s">
        <v>37</v>
      </c>
      <c r="H109" t="s">
        <v>65</v>
      </c>
      <c r="I109" t="s">
        <v>50</v>
      </c>
      <c r="J109" t="s">
        <v>51</v>
      </c>
      <c r="K109" t="s">
        <v>120</v>
      </c>
      <c r="L109">
        <v>46</v>
      </c>
      <c r="M109">
        <v>2</v>
      </c>
      <c r="N109" t="s">
        <v>26</v>
      </c>
      <c r="O109" t="s">
        <v>27</v>
      </c>
      <c r="P109" t="s">
        <v>28</v>
      </c>
      <c r="Q109">
        <f>VLOOKUP(B109,Tabelle2!C:S,17,0)</f>
        <v>0</v>
      </c>
    </row>
    <row r="110" spans="1:17" x14ac:dyDescent="0.3">
      <c r="A110" t="s">
        <v>112</v>
      </c>
      <c r="B110" t="s">
        <v>524</v>
      </c>
      <c r="C110" t="s">
        <v>525</v>
      </c>
      <c r="D110" t="s">
        <v>525</v>
      </c>
      <c r="E110" t="s">
        <v>526</v>
      </c>
      <c r="F110" t="s">
        <v>527</v>
      </c>
      <c r="G110" t="s">
        <v>56</v>
      </c>
      <c r="H110" t="s">
        <v>528</v>
      </c>
      <c r="I110" t="s">
        <v>529</v>
      </c>
      <c r="J110" t="s">
        <v>300</v>
      </c>
      <c r="K110" t="s">
        <v>32</v>
      </c>
      <c r="L110">
        <v>13.4</v>
      </c>
      <c r="M110">
        <v>-16.7</v>
      </c>
      <c r="N110" t="s">
        <v>26</v>
      </c>
      <c r="O110" t="s">
        <v>27</v>
      </c>
      <c r="P110" t="s">
        <v>28</v>
      </c>
      <c r="Q110">
        <f>VLOOKUP(B110,Tabelle2!C:S,17,0)</f>
        <v>0</v>
      </c>
    </row>
    <row r="111" spans="1:17" x14ac:dyDescent="0.3">
      <c r="A111" t="s">
        <v>112</v>
      </c>
      <c r="B111" t="s">
        <v>530</v>
      </c>
      <c r="C111" t="s">
        <v>531</v>
      </c>
      <c r="D111" t="s">
        <v>531</v>
      </c>
      <c r="E111" t="s">
        <v>532</v>
      </c>
      <c r="F111" t="s">
        <v>527</v>
      </c>
      <c r="G111" t="s">
        <v>56</v>
      </c>
      <c r="H111" t="s">
        <v>528</v>
      </c>
      <c r="I111" t="s">
        <v>529</v>
      </c>
      <c r="J111" t="s">
        <v>300</v>
      </c>
      <c r="K111" t="s">
        <v>120</v>
      </c>
      <c r="L111">
        <v>13.4</v>
      </c>
      <c r="M111">
        <v>-16.7</v>
      </c>
      <c r="N111" t="s">
        <v>26</v>
      </c>
      <c r="O111" t="s">
        <v>27</v>
      </c>
      <c r="P111" t="s">
        <v>28</v>
      </c>
      <c r="Q111">
        <f>VLOOKUP(B111,Tabelle2!C:S,17,0)</f>
        <v>0</v>
      </c>
    </row>
    <row r="112" spans="1:17" x14ac:dyDescent="0.3">
      <c r="A112" t="s">
        <v>112</v>
      </c>
      <c r="B112" t="s">
        <v>533</v>
      </c>
      <c r="C112" t="s">
        <v>534</v>
      </c>
      <c r="D112" t="s">
        <v>534</v>
      </c>
      <c r="E112" t="s">
        <v>535</v>
      </c>
      <c r="F112" t="s">
        <v>536</v>
      </c>
      <c r="G112" t="s">
        <v>37</v>
      </c>
      <c r="H112" t="s">
        <v>537</v>
      </c>
      <c r="I112" t="s">
        <v>538</v>
      </c>
      <c r="J112" t="s">
        <v>146</v>
      </c>
      <c r="K112" t="s">
        <v>32</v>
      </c>
      <c r="L112">
        <v>42.5</v>
      </c>
      <c r="M112">
        <v>41.85</v>
      </c>
      <c r="N112" t="s">
        <v>121</v>
      </c>
      <c r="O112" t="s">
        <v>27</v>
      </c>
      <c r="P112" t="s">
        <v>28</v>
      </c>
      <c r="Q112">
        <f>VLOOKUP(B112,Tabelle2!C:S,17,0)</f>
        <v>0</v>
      </c>
    </row>
    <row r="113" spans="1:17" x14ac:dyDescent="0.3">
      <c r="A113" t="s">
        <v>112</v>
      </c>
      <c r="B113" t="s">
        <v>539</v>
      </c>
      <c r="C113" t="s">
        <v>540</v>
      </c>
      <c r="D113" t="s">
        <v>540</v>
      </c>
      <c r="E113" t="s">
        <v>541</v>
      </c>
      <c r="F113" t="s">
        <v>536</v>
      </c>
      <c r="G113" t="s">
        <v>37</v>
      </c>
      <c r="H113" t="s">
        <v>537</v>
      </c>
      <c r="I113" t="s">
        <v>538</v>
      </c>
      <c r="J113" t="s">
        <v>146</v>
      </c>
      <c r="K113" t="s">
        <v>32</v>
      </c>
      <c r="L113">
        <v>42.5</v>
      </c>
      <c r="M113">
        <v>41.85</v>
      </c>
      <c r="N113" t="s">
        <v>121</v>
      </c>
      <c r="O113" t="s">
        <v>27</v>
      </c>
      <c r="P113" t="s">
        <v>28</v>
      </c>
      <c r="Q113">
        <f>VLOOKUP(B113,Tabelle2!C:S,17,0)</f>
        <v>0</v>
      </c>
    </row>
    <row r="114" spans="1:17" x14ac:dyDescent="0.3">
      <c r="A114" t="s">
        <v>112</v>
      </c>
      <c r="B114" t="s">
        <v>542</v>
      </c>
      <c r="C114" t="s">
        <v>543</v>
      </c>
      <c r="D114" t="s">
        <v>543</v>
      </c>
      <c r="E114" t="s">
        <v>544</v>
      </c>
      <c r="F114" t="s">
        <v>545</v>
      </c>
      <c r="G114" t="s">
        <v>37</v>
      </c>
      <c r="H114" t="s">
        <v>38</v>
      </c>
      <c r="I114" t="s">
        <v>23</v>
      </c>
      <c r="J114" t="s">
        <v>134</v>
      </c>
      <c r="K114" t="s">
        <v>32</v>
      </c>
      <c r="L114">
        <v>38</v>
      </c>
      <c r="M114">
        <v>23.7</v>
      </c>
      <c r="N114" t="s">
        <v>26</v>
      </c>
      <c r="O114" t="s">
        <v>27</v>
      </c>
      <c r="P114" t="s">
        <v>28</v>
      </c>
      <c r="Q114">
        <f>VLOOKUP(B114,Tabelle2!C:S,17,0)</f>
        <v>0</v>
      </c>
    </row>
    <row r="115" spans="1:17" x14ac:dyDescent="0.3">
      <c r="A115" t="s">
        <v>112</v>
      </c>
      <c r="B115" t="s">
        <v>546</v>
      </c>
      <c r="C115" t="s">
        <v>547</v>
      </c>
      <c r="D115" t="s">
        <v>547</v>
      </c>
      <c r="E115" t="s">
        <v>548</v>
      </c>
      <c r="F115" t="s">
        <v>545</v>
      </c>
      <c r="G115" t="s">
        <v>37</v>
      </c>
      <c r="H115" t="s">
        <v>38</v>
      </c>
      <c r="I115" t="s">
        <v>23</v>
      </c>
      <c r="J115" t="s">
        <v>134</v>
      </c>
      <c r="K115" t="s">
        <v>32</v>
      </c>
      <c r="L115">
        <v>38</v>
      </c>
      <c r="M115">
        <v>23.7</v>
      </c>
      <c r="N115" t="s">
        <v>26</v>
      </c>
      <c r="O115" t="s">
        <v>27</v>
      </c>
      <c r="P115" t="s">
        <v>28</v>
      </c>
      <c r="Q115">
        <f>VLOOKUP(B115,Tabelle2!C:S,17,0)</f>
        <v>0</v>
      </c>
    </row>
    <row r="116" spans="1:17" x14ac:dyDescent="0.3">
      <c r="A116" t="s">
        <v>112</v>
      </c>
      <c r="B116" t="s">
        <v>549</v>
      </c>
      <c r="C116" t="s">
        <v>550</v>
      </c>
      <c r="D116" t="s">
        <v>550</v>
      </c>
      <c r="E116" t="s">
        <v>551</v>
      </c>
      <c r="F116" t="s">
        <v>69</v>
      </c>
      <c r="G116" t="s">
        <v>48</v>
      </c>
      <c r="H116" t="s">
        <v>49</v>
      </c>
      <c r="I116" t="s">
        <v>50</v>
      </c>
      <c r="J116" t="s">
        <v>51</v>
      </c>
      <c r="K116" t="s">
        <v>120</v>
      </c>
      <c r="L116">
        <v>32.299999999999997</v>
      </c>
      <c r="M116">
        <v>114</v>
      </c>
      <c r="N116" t="s">
        <v>26</v>
      </c>
      <c r="O116" t="s">
        <v>27</v>
      </c>
      <c r="P116" t="s">
        <v>28</v>
      </c>
      <c r="Q116">
        <f>VLOOKUP(B116,Tabelle2!C:S,17,0)</f>
        <v>0</v>
      </c>
    </row>
    <row r="117" spans="1:17" x14ac:dyDescent="0.3">
      <c r="A117" t="s">
        <v>112</v>
      </c>
      <c r="B117" t="s">
        <v>552</v>
      </c>
      <c r="C117" t="s">
        <v>553</v>
      </c>
      <c r="D117" t="s">
        <v>553</v>
      </c>
      <c r="E117" t="s">
        <v>554</v>
      </c>
      <c r="F117" t="s">
        <v>69</v>
      </c>
      <c r="G117" t="s">
        <v>48</v>
      </c>
      <c r="H117" t="s">
        <v>49</v>
      </c>
      <c r="I117" t="s">
        <v>50</v>
      </c>
      <c r="J117" t="s">
        <v>51</v>
      </c>
      <c r="K117" t="s">
        <v>32</v>
      </c>
      <c r="L117">
        <v>32.299999999999997</v>
      </c>
      <c r="M117">
        <v>114</v>
      </c>
      <c r="N117" t="s">
        <v>26</v>
      </c>
      <c r="O117" t="s">
        <v>27</v>
      </c>
      <c r="P117" t="s">
        <v>28</v>
      </c>
      <c r="Q117">
        <f>VLOOKUP(B117,Tabelle2!C:S,17,0)</f>
        <v>0</v>
      </c>
    </row>
    <row r="118" spans="1:17" x14ac:dyDescent="0.3">
      <c r="A118" t="s">
        <v>112</v>
      </c>
      <c r="B118" t="s">
        <v>555</v>
      </c>
      <c r="C118" t="s">
        <v>556</v>
      </c>
      <c r="D118" t="s">
        <v>556</v>
      </c>
      <c r="E118" t="s">
        <v>557</v>
      </c>
      <c r="F118" t="s">
        <v>558</v>
      </c>
      <c r="G118" t="s">
        <v>176</v>
      </c>
      <c r="H118" t="s">
        <v>225</v>
      </c>
      <c r="I118" t="s">
        <v>50</v>
      </c>
      <c r="J118" t="s">
        <v>51</v>
      </c>
      <c r="K118" t="s">
        <v>32</v>
      </c>
      <c r="L118">
        <v>33.5</v>
      </c>
      <c r="M118">
        <v>70</v>
      </c>
      <c r="N118" t="s">
        <v>26</v>
      </c>
      <c r="O118" t="s">
        <v>27</v>
      </c>
      <c r="P118" t="s">
        <v>28</v>
      </c>
      <c r="Q118">
        <f>VLOOKUP(B118,Tabelle2!C:S,17,0)</f>
        <v>0</v>
      </c>
    </row>
    <row r="119" spans="1:17" x14ac:dyDescent="0.3">
      <c r="A119" t="s">
        <v>112</v>
      </c>
      <c r="B119" t="s">
        <v>559</v>
      </c>
      <c r="C119" t="s">
        <v>560</v>
      </c>
      <c r="D119" t="s">
        <v>560</v>
      </c>
      <c r="E119" t="s">
        <v>561</v>
      </c>
      <c r="F119" t="s">
        <v>558</v>
      </c>
      <c r="G119" t="s">
        <v>176</v>
      </c>
      <c r="H119" t="s">
        <v>225</v>
      </c>
      <c r="I119" t="s">
        <v>50</v>
      </c>
      <c r="J119" t="s">
        <v>51</v>
      </c>
      <c r="K119" t="s">
        <v>32</v>
      </c>
      <c r="L119">
        <v>33.5</v>
      </c>
      <c r="M119">
        <v>70</v>
      </c>
      <c r="N119" t="s">
        <v>26</v>
      </c>
      <c r="O119" t="s">
        <v>27</v>
      </c>
      <c r="P119" t="s">
        <v>28</v>
      </c>
      <c r="Q119">
        <f>VLOOKUP(B119,Tabelle2!C:S,17,0)</f>
        <v>0</v>
      </c>
    </row>
    <row r="120" spans="1:17" x14ac:dyDescent="0.3">
      <c r="A120" t="s">
        <v>112</v>
      </c>
      <c r="B120" t="s">
        <v>562</v>
      </c>
      <c r="C120" t="s">
        <v>563</v>
      </c>
      <c r="D120" t="s">
        <v>563</v>
      </c>
      <c r="E120" t="s">
        <v>564</v>
      </c>
      <c r="F120" t="s">
        <v>565</v>
      </c>
      <c r="G120" t="s">
        <v>48</v>
      </c>
      <c r="H120" t="s">
        <v>49</v>
      </c>
      <c r="I120" t="s">
        <v>50</v>
      </c>
      <c r="J120" t="s">
        <v>51</v>
      </c>
      <c r="K120" t="s">
        <v>32</v>
      </c>
      <c r="L120">
        <v>47.5</v>
      </c>
      <c r="M120">
        <v>133.5</v>
      </c>
      <c r="N120" t="s">
        <v>26</v>
      </c>
      <c r="O120" t="s">
        <v>27</v>
      </c>
      <c r="P120" t="s">
        <v>28</v>
      </c>
      <c r="Q120">
        <f>VLOOKUP(B120,Tabelle2!C:S,17,0)</f>
        <v>0</v>
      </c>
    </row>
    <row r="121" spans="1:17" x14ac:dyDescent="0.3">
      <c r="A121" t="s">
        <v>112</v>
      </c>
      <c r="B121" t="s">
        <v>566</v>
      </c>
      <c r="C121" t="s">
        <v>567</v>
      </c>
      <c r="D121" t="s">
        <v>567</v>
      </c>
      <c r="E121" t="s">
        <v>568</v>
      </c>
      <c r="F121" t="s">
        <v>565</v>
      </c>
      <c r="G121" t="s">
        <v>48</v>
      </c>
      <c r="H121" t="s">
        <v>49</v>
      </c>
      <c r="I121" t="s">
        <v>50</v>
      </c>
      <c r="J121" t="s">
        <v>51</v>
      </c>
      <c r="K121" t="s">
        <v>120</v>
      </c>
      <c r="L121">
        <v>47.5</v>
      </c>
      <c r="M121">
        <v>133.5</v>
      </c>
      <c r="N121" t="s">
        <v>26</v>
      </c>
      <c r="O121" t="s">
        <v>27</v>
      </c>
      <c r="P121" t="s">
        <v>28</v>
      </c>
      <c r="Q121">
        <f>VLOOKUP(B121,Tabelle2!C:S,17,0)</f>
        <v>0</v>
      </c>
    </row>
    <row r="122" spans="1:17" x14ac:dyDescent="0.3">
      <c r="A122" t="s">
        <v>112</v>
      </c>
      <c r="B122" t="s">
        <v>569</v>
      </c>
      <c r="C122" t="s">
        <v>570</v>
      </c>
      <c r="D122" t="s">
        <v>570</v>
      </c>
      <c r="E122" t="s">
        <v>571</v>
      </c>
      <c r="F122" t="s">
        <v>572</v>
      </c>
      <c r="G122" t="s">
        <v>37</v>
      </c>
      <c r="H122" t="s">
        <v>573</v>
      </c>
      <c r="I122" t="s">
        <v>23</v>
      </c>
      <c r="J122" t="s">
        <v>134</v>
      </c>
      <c r="K122" t="s">
        <v>120</v>
      </c>
      <c r="L122">
        <v>47.5</v>
      </c>
      <c r="M122">
        <v>19.100000000000001</v>
      </c>
      <c r="N122" t="s">
        <v>26</v>
      </c>
      <c r="O122" t="s">
        <v>27</v>
      </c>
      <c r="P122" t="s">
        <v>28</v>
      </c>
      <c r="Q122">
        <f>VLOOKUP(B122,Tabelle2!C:S,17,0)</f>
        <v>0</v>
      </c>
    </row>
    <row r="123" spans="1:17" x14ac:dyDescent="0.3">
      <c r="A123" t="s">
        <v>112</v>
      </c>
      <c r="B123" t="s">
        <v>574</v>
      </c>
      <c r="C123" t="s">
        <v>575</v>
      </c>
      <c r="D123" t="s">
        <v>575</v>
      </c>
      <c r="E123" t="s">
        <v>576</v>
      </c>
      <c r="F123" t="s">
        <v>572</v>
      </c>
      <c r="G123" t="s">
        <v>37</v>
      </c>
      <c r="H123" t="s">
        <v>573</v>
      </c>
      <c r="I123" t="s">
        <v>23</v>
      </c>
      <c r="J123" t="s">
        <v>134</v>
      </c>
      <c r="K123" t="s">
        <v>32</v>
      </c>
      <c r="L123">
        <v>47.5</v>
      </c>
      <c r="M123">
        <v>19.100000000000001</v>
      </c>
      <c r="N123" t="s">
        <v>26</v>
      </c>
      <c r="O123" t="s">
        <v>27</v>
      </c>
      <c r="P123" t="s">
        <v>28</v>
      </c>
      <c r="Q123">
        <f>VLOOKUP(B123,Tabelle2!C:S,17,0)</f>
        <v>0</v>
      </c>
    </row>
    <row r="124" spans="1:17" x14ac:dyDescent="0.3">
      <c r="A124" t="s">
        <v>112</v>
      </c>
      <c r="B124" t="s">
        <v>577</v>
      </c>
      <c r="C124" t="s">
        <v>578</v>
      </c>
      <c r="D124" t="s">
        <v>578</v>
      </c>
      <c r="E124" t="s">
        <v>579</v>
      </c>
      <c r="F124" t="s">
        <v>580</v>
      </c>
      <c r="G124" t="s">
        <v>37</v>
      </c>
      <c r="H124" t="s">
        <v>581</v>
      </c>
      <c r="I124" t="s">
        <v>23</v>
      </c>
      <c r="J124" t="s">
        <v>134</v>
      </c>
      <c r="K124" t="s">
        <v>120</v>
      </c>
      <c r="L124">
        <v>64.099999999999994</v>
      </c>
      <c r="M124">
        <v>-21.9</v>
      </c>
      <c r="N124" t="s">
        <v>26</v>
      </c>
      <c r="O124" t="s">
        <v>27</v>
      </c>
      <c r="P124" t="s">
        <v>28</v>
      </c>
      <c r="Q124">
        <f>VLOOKUP(B124,Tabelle2!C:S,17,0)</f>
        <v>0</v>
      </c>
    </row>
    <row r="125" spans="1:17" x14ac:dyDescent="0.3">
      <c r="A125" t="s">
        <v>112</v>
      </c>
      <c r="B125" t="s">
        <v>582</v>
      </c>
      <c r="C125" t="s">
        <v>583</v>
      </c>
      <c r="D125" t="s">
        <v>583</v>
      </c>
      <c r="E125" t="s">
        <v>584</v>
      </c>
      <c r="F125" t="s">
        <v>580</v>
      </c>
      <c r="G125" t="s">
        <v>37</v>
      </c>
      <c r="H125" t="s">
        <v>581</v>
      </c>
      <c r="I125" t="s">
        <v>23</v>
      </c>
      <c r="J125" t="s">
        <v>134</v>
      </c>
      <c r="K125" t="s">
        <v>120</v>
      </c>
      <c r="L125">
        <v>64.099999999999994</v>
      </c>
      <c r="M125">
        <v>-21.9</v>
      </c>
      <c r="N125" t="s">
        <v>26</v>
      </c>
      <c r="O125" t="s">
        <v>27</v>
      </c>
      <c r="P125" t="s">
        <v>28</v>
      </c>
      <c r="Q125">
        <f>VLOOKUP(B125,Tabelle2!C:S,17,0)</f>
        <v>0</v>
      </c>
    </row>
    <row r="126" spans="1:17" x14ac:dyDescent="0.3">
      <c r="A126" t="s">
        <v>112</v>
      </c>
      <c r="B126" t="s">
        <v>585</v>
      </c>
      <c r="C126" t="s">
        <v>586</v>
      </c>
      <c r="D126" t="s">
        <v>586</v>
      </c>
      <c r="E126" t="s">
        <v>587</v>
      </c>
      <c r="F126" t="s">
        <v>588</v>
      </c>
      <c r="G126" t="s">
        <v>21</v>
      </c>
      <c r="H126" t="s">
        <v>589</v>
      </c>
      <c r="I126" t="s">
        <v>590</v>
      </c>
      <c r="Q126">
        <f>VLOOKUP(B126,Tabelle2!C:S,17,0)</f>
        <v>0</v>
      </c>
    </row>
    <row r="127" spans="1:17" x14ac:dyDescent="0.3">
      <c r="A127" t="s">
        <v>112</v>
      </c>
      <c r="B127" t="s">
        <v>591</v>
      </c>
      <c r="C127" t="s">
        <v>592</v>
      </c>
      <c r="D127" t="s">
        <v>592</v>
      </c>
      <c r="E127" t="s">
        <v>593</v>
      </c>
      <c r="F127" t="s">
        <v>588</v>
      </c>
      <c r="G127" t="s">
        <v>21</v>
      </c>
      <c r="H127" t="s">
        <v>589</v>
      </c>
      <c r="I127" t="s">
        <v>590</v>
      </c>
      <c r="Q127">
        <f>VLOOKUP(B127,Tabelle2!C:S,17,0)</f>
        <v>0</v>
      </c>
    </row>
    <row r="128" spans="1:17" x14ac:dyDescent="0.3">
      <c r="A128" t="s">
        <v>112</v>
      </c>
      <c r="B128" t="s">
        <v>594</v>
      </c>
      <c r="C128" t="s">
        <v>595</v>
      </c>
      <c r="D128" t="s">
        <v>595</v>
      </c>
      <c r="E128" t="s">
        <v>596</v>
      </c>
      <c r="F128" t="s">
        <v>597</v>
      </c>
      <c r="G128" t="s">
        <v>37</v>
      </c>
      <c r="H128" t="s">
        <v>598</v>
      </c>
      <c r="I128" t="s">
        <v>285</v>
      </c>
      <c r="J128" t="s">
        <v>286</v>
      </c>
      <c r="K128" t="s">
        <v>32</v>
      </c>
      <c r="L128">
        <v>35.585999999999999</v>
      </c>
      <c r="M128">
        <v>51.46</v>
      </c>
      <c r="N128" t="s">
        <v>121</v>
      </c>
      <c r="O128" t="s">
        <v>27</v>
      </c>
      <c r="P128" t="s">
        <v>28</v>
      </c>
      <c r="Q128">
        <f>VLOOKUP(B128,Tabelle2!C:S,17,0)</f>
        <v>0</v>
      </c>
    </row>
    <row r="129" spans="1:17" x14ac:dyDescent="0.3">
      <c r="A129" t="s">
        <v>112</v>
      </c>
      <c r="B129" t="s">
        <v>599</v>
      </c>
      <c r="C129" t="s">
        <v>600</v>
      </c>
      <c r="D129" t="s">
        <v>600</v>
      </c>
      <c r="E129" t="s">
        <v>601</v>
      </c>
      <c r="F129" t="s">
        <v>597</v>
      </c>
      <c r="G129" t="s">
        <v>37</v>
      </c>
      <c r="H129" t="s">
        <v>598</v>
      </c>
      <c r="I129" t="s">
        <v>285</v>
      </c>
      <c r="J129" t="s">
        <v>286</v>
      </c>
      <c r="K129" t="s">
        <v>32</v>
      </c>
      <c r="L129">
        <v>35.585999999999999</v>
      </c>
      <c r="M129">
        <v>51.46</v>
      </c>
      <c r="N129" t="s">
        <v>121</v>
      </c>
      <c r="O129" t="s">
        <v>27</v>
      </c>
      <c r="P129" t="s">
        <v>28</v>
      </c>
      <c r="Q129">
        <f>VLOOKUP(B129,Tabelle2!C:S,17,0)</f>
        <v>0</v>
      </c>
    </row>
    <row r="130" spans="1:17" x14ac:dyDescent="0.3">
      <c r="A130" t="s">
        <v>112</v>
      </c>
      <c r="B130" t="s">
        <v>602</v>
      </c>
      <c r="C130" t="s">
        <v>603</v>
      </c>
      <c r="D130" t="s">
        <v>603</v>
      </c>
      <c r="E130" t="s">
        <v>604</v>
      </c>
      <c r="F130" t="s">
        <v>605</v>
      </c>
      <c r="G130" t="s">
        <v>37</v>
      </c>
      <c r="H130" t="s">
        <v>606</v>
      </c>
      <c r="I130" t="s">
        <v>607</v>
      </c>
      <c r="J130" t="s">
        <v>608</v>
      </c>
      <c r="K130" t="s">
        <v>120</v>
      </c>
      <c r="L130">
        <v>33.299999999999997</v>
      </c>
      <c r="M130">
        <v>44.4</v>
      </c>
      <c r="N130" t="s">
        <v>26</v>
      </c>
      <c r="O130" t="s">
        <v>27</v>
      </c>
      <c r="P130" t="s">
        <v>28</v>
      </c>
      <c r="Q130">
        <f>VLOOKUP(B130,Tabelle2!C:S,17,0)</f>
        <v>0</v>
      </c>
    </row>
    <row r="131" spans="1:17" x14ac:dyDescent="0.3">
      <c r="A131" t="s">
        <v>112</v>
      </c>
      <c r="B131" t="s">
        <v>609</v>
      </c>
      <c r="C131" t="s">
        <v>610</v>
      </c>
      <c r="D131" t="s">
        <v>610</v>
      </c>
      <c r="E131" t="s">
        <v>611</v>
      </c>
      <c r="F131" t="s">
        <v>605</v>
      </c>
      <c r="G131" t="s">
        <v>37</v>
      </c>
      <c r="H131" t="s">
        <v>606</v>
      </c>
      <c r="I131" t="s">
        <v>607</v>
      </c>
      <c r="J131" t="s">
        <v>608</v>
      </c>
      <c r="K131" t="s">
        <v>32</v>
      </c>
      <c r="L131">
        <v>33.299999999999997</v>
      </c>
      <c r="M131">
        <v>44.4</v>
      </c>
      <c r="N131" t="s">
        <v>26</v>
      </c>
      <c r="O131" t="s">
        <v>27</v>
      </c>
      <c r="P131" t="s">
        <v>28</v>
      </c>
      <c r="Q131">
        <f>VLOOKUP(B131,Tabelle2!C:S,17,0)</f>
        <v>0</v>
      </c>
    </row>
    <row r="132" spans="1:17" x14ac:dyDescent="0.3">
      <c r="A132" t="s">
        <v>112</v>
      </c>
      <c r="B132" t="s">
        <v>612</v>
      </c>
      <c r="C132" t="s">
        <v>613</v>
      </c>
      <c r="D132" t="s">
        <v>613</v>
      </c>
      <c r="E132" t="s">
        <v>614</v>
      </c>
      <c r="F132" t="s">
        <v>615</v>
      </c>
      <c r="G132" t="s">
        <v>176</v>
      </c>
      <c r="H132" t="s">
        <v>177</v>
      </c>
      <c r="I132" t="s">
        <v>50</v>
      </c>
      <c r="J132" t="s">
        <v>178</v>
      </c>
      <c r="K132" t="s">
        <v>32</v>
      </c>
      <c r="L132">
        <v>13.5</v>
      </c>
      <c r="M132">
        <v>80</v>
      </c>
      <c r="N132" t="s">
        <v>121</v>
      </c>
      <c r="O132" t="s">
        <v>27</v>
      </c>
      <c r="P132" t="s">
        <v>28</v>
      </c>
      <c r="Q132">
        <f>VLOOKUP(B132,Tabelle2!C:S,17,0)</f>
        <v>0</v>
      </c>
    </row>
    <row r="133" spans="1:17" x14ac:dyDescent="0.3">
      <c r="A133" t="s">
        <v>112</v>
      </c>
      <c r="B133" t="s">
        <v>616</v>
      </c>
      <c r="C133" t="s">
        <v>617</v>
      </c>
      <c r="D133" t="s">
        <v>617</v>
      </c>
      <c r="E133" t="s">
        <v>618</v>
      </c>
      <c r="F133" t="s">
        <v>615</v>
      </c>
      <c r="G133" t="s">
        <v>176</v>
      </c>
      <c r="H133" t="s">
        <v>177</v>
      </c>
      <c r="I133" t="s">
        <v>50</v>
      </c>
      <c r="J133" t="s">
        <v>178</v>
      </c>
      <c r="K133" t="s">
        <v>32</v>
      </c>
      <c r="L133">
        <v>13.5</v>
      </c>
      <c r="M133">
        <v>80</v>
      </c>
      <c r="N133" t="s">
        <v>121</v>
      </c>
      <c r="O133" t="s">
        <v>27</v>
      </c>
      <c r="P133" t="s">
        <v>28</v>
      </c>
      <c r="Q133">
        <f>VLOOKUP(B133,Tabelle2!C:S,17,0)</f>
        <v>0</v>
      </c>
    </row>
    <row r="134" spans="1:17" x14ac:dyDescent="0.3">
      <c r="A134" t="s">
        <v>112</v>
      </c>
      <c r="B134" t="s">
        <v>619</v>
      </c>
      <c r="C134" t="s">
        <v>620</v>
      </c>
      <c r="D134" t="s">
        <v>620</v>
      </c>
      <c r="E134" t="s">
        <v>621</v>
      </c>
      <c r="F134" t="s">
        <v>622</v>
      </c>
      <c r="G134" t="s">
        <v>176</v>
      </c>
      <c r="H134" t="s">
        <v>225</v>
      </c>
      <c r="I134" t="s">
        <v>50</v>
      </c>
      <c r="J134" t="s">
        <v>51</v>
      </c>
      <c r="K134" t="s">
        <v>32</v>
      </c>
      <c r="L134">
        <v>36</v>
      </c>
      <c r="M134">
        <v>71.5</v>
      </c>
      <c r="N134" t="s">
        <v>26</v>
      </c>
      <c r="O134" t="s">
        <v>27</v>
      </c>
      <c r="P134" t="s">
        <v>28</v>
      </c>
      <c r="Q134">
        <f>VLOOKUP(B134,Tabelle2!C:S,17,0)</f>
        <v>0</v>
      </c>
    </row>
    <row r="135" spans="1:17" x14ac:dyDescent="0.3">
      <c r="A135" t="s">
        <v>112</v>
      </c>
      <c r="B135" t="s">
        <v>623</v>
      </c>
      <c r="C135" t="s">
        <v>624</v>
      </c>
      <c r="D135" t="s">
        <v>624</v>
      </c>
      <c r="E135" t="s">
        <v>625</v>
      </c>
      <c r="F135" t="s">
        <v>622</v>
      </c>
      <c r="G135" t="s">
        <v>176</v>
      </c>
      <c r="H135" t="s">
        <v>225</v>
      </c>
      <c r="I135" t="s">
        <v>50</v>
      </c>
      <c r="J135" t="s">
        <v>51</v>
      </c>
      <c r="K135" t="s">
        <v>120</v>
      </c>
      <c r="L135">
        <v>36</v>
      </c>
      <c r="M135">
        <v>71.5</v>
      </c>
      <c r="N135" t="s">
        <v>26</v>
      </c>
      <c r="O135" t="s">
        <v>27</v>
      </c>
      <c r="P135" t="s">
        <v>28</v>
      </c>
      <c r="Q135">
        <f>VLOOKUP(B135,Tabelle2!C:S,17,0)</f>
        <v>0</v>
      </c>
    </row>
    <row r="136" spans="1:17" x14ac:dyDescent="0.3">
      <c r="A136" t="s">
        <v>112</v>
      </c>
      <c r="B136" t="s">
        <v>626</v>
      </c>
      <c r="C136" t="s">
        <v>627</v>
      </c>
      <c r="D136" t="s">
        <v>627</v>
      </c>
      <c r="E136" t="s">
        <v>628</v>
      </c>
      <c r="F136" t="s">
        <v>629</v>
      </c>
      <c r="G136" t="s">
        <v>176</v>
      </c>
      <c r="H136" t="s">
        <v>177</v>
      </c>
      <c r="I136" t="s">
        <v>403</v>
      </c>
      <c r="J136" t="s">
        <v>178</v>
      </c>
      <c r="K136" t="s">
        <v>32</v>
      </c>
      <c r="L136">
        <v>17.7</v>
      </c>
      <c r="M136">
        <v>83.3</v>
      </c>
      <c r="N136" t="s">
        <v>121</v>
      </c>
      <c r="O136" t="s">
        <v>27</v>
      </c>
      <c r="P136" t="s">
        <v>28</v>
      </c>
      <c r="Q136">
        <f>VLOOKUP(B136,Tabelle2!C:S,17,0)</f>
        <v>0</v>
      </c>
    </row>
    <row r="137" spans="1:17" x14ac:dyDescent="0.3">
      <c r="A137" t="s">
        <v>112</v>
      </c>
      <c r="B137" t="s">
        <v>630</v>
      </c>
      <c r="C137" t="s">
        <v>631</v>
      </c>
      <c r="D137" t="s">
        <v>631</v>
      </c>
      <c r="E137" t="s">
        <v>632</v>
      </c>
      <c r="F137" t="s">
        <v>629</v>
      </c>
      <c r="G137" t="s">
        <v>176</v>
      </c>
      <c r="H137" t="s">
        <v>177</v>
      </c>
      <c r="I137" t="s">
        <v>403</v>
      </c>
      <c r="J137" t="s">
        <v>178</v>
      </c>
      <c r="K137" t="s">
        <v>32</v>
      </c>
      <c r="L137">
        <v>17.7</v>
      </c>
      <c r="M137">
        <v>83.3</v>
      </c>
      <c r="N137" t="s">
        <v>121</v>
      </c>
      <c r="O137" t="s">
        <v>27</v>
      </c>
      <c r="P137" t="s">
        <v>28</v>
      </c>
      <c r="Q137">
        <f>VLOOKUP(B137,Tabelle2!C:S,17,0)</f>
        <v>0</v>
      </c>
    </row>
    <row r="138" spans="1:17" x14ac:dyDescent="0.3">
      <c r="A138" t="s">
        <v>112</v>
      </c>
      <c r="B138" t="s">
        <v>633</v>
      </c>
      <c r="C138" t="s">
        <v>634</v>
      </c>
      <c r="D138" t="s">
        <v>634</v>
      </c>
      <c r="E138" t="s">
        <v>635</v>
      </c>
      <c r="F138" t="s">
        <v>78</v>
      </c>
      <c r="G138" t="s">
        <v>79</v>
      </c>
      <c r="H138" t="s">
        <v>80</v>
      </c>
      <c r="I138" t="s">
        <v>50</v>
      </c>
      <c r="J138" t="s">
        <v>51</v>
      </c>
      <c r="K138" t="s">
        <v>32</v>
      </c>
      <c r="L138">
        <v>-10</v>
      </c>
      <c r="M138">
        <v>-63</v>
      </c>
      <c r="N138" t="s">
        <v>26</v>
      </c>
      <c r="O138" t="s">
        <v>27</v>
      </c>
      <c r="P138" t="s">
        <v>28</v>
      </c>
      <c r="Q138">
        <f>VLOOKUP(B138,Tabelle2!C:S,17,0)</f>
        <v>0</v>
      </c>
    </row>
    <row r="139" spans="1:17" x14ac:dyDescent="0.3">
      <c r="A139" t="s">
        <v>112</v>
      </c>
      <c r="B139" t="s">
        <v>636</v>
      </c>
      <c r="C139" t="s">
        <v>637</v>
      </c>
      <c r="D139" t="s">
        <v>637</v>
      </c>
      <c r="E139" t="s">
        <v>638</v>
      </c>
      <c r="F139" t="s">
        <v>78</v>
      </c>
      <c r="G139" t="s">
        <v>79</v>
      </c>
      <c r="H139" t="s">
        <v>80</v>
      </c>
      <c r="I139" t="s">
        <v>50</v>
      </c>
      <c r="J139" t="s">
        <v>51</v>
      </c>
      <c r="K139" t="s">
        <v>120</v>
      </c>
      <c r="L139">
        <v>-10</v>
      </c>
      <c r="M139">
        <v>-63</v>
      </c>
      <c r="N139" t="s">
        <v>26</v>
      </c>
      <c r="O139" t="s">
        <v>27</v>
      </c>
      <c r="P139" t="s">
        <v>28</v>
      </c>
      <c r="Q139">
        <f>VLOOKUP(B139,Tabelle2!C:S,17,0)</f>
        <v>0</v>
      </c>
    </row>
    <row r="140" spans="1:17" x14ac:dyDescent="0.3">
      <c r="A140" t="s">
        <v>112</v>
      </c>
      <c r="B140" t="s">
        <v>639</v>
      </c>
      <c r="C140" t="s">
        <v>640</v>
      </c>
      <c r="D140" t="s">
        <v>640</v>
      </c>
      <c r="E140" t="s">
        <v>641</v>
      </c>
      <c r="F140" t="s">
        <v>642</v>
      </c>
      <c r="G140" t="s">
        <v>56</v>
      </c>
      <c r="H140" t="s">
        <v>643</v>
      </c>
      <c r="I140" t="s">
        <v>644</v>
      </c>
      <c r="Q140">
        <f>VLOOKUP(B140,Tabelle2!C:S,17,0)</f>
        <v>0</v>
      </c>
    </row>
    <row r="141" spans="1:17" x14ac:dyDescent="0.3">
      <c r="A141" t="s">
        <v>112</v>
      </c>
      <c r="B141" t="s">
        <v>645</v>
      </c>
      <c r="C141" t="s">
        <v>646</v>
      </c>
      <c r="D141" t="s">
        <v>646</v>
      </c>
      <c r="E141" t="s">
        <v>647</v>
      </c>
      <c r="F141" t="s">
        <v>642</v>
      </c>
      <c r="G141" t="s">
        <v>56</v>
      </c>
      <c r="H141" t="s">
        <v>643</v>
      </c>
      <c r="I141" t="s">
        <v>648</v>
      </c>
      <c r="Q141">
        <f>VLOOKUP(B141,Tabelle2!C:S,17,0)</f>
        <v>0</v>
      </c>
    </row>
    <row r="142" spans="1:17" x14ac:dyDescent="0.3">
      <c r="A142" t="s">
        <v>112</v>
      </c>
      <c r="B142" t="s">
        <v>649</v>
      </c>
      <c r="C142" t="s">
        <v>650</v>
      </c>
      <c r="D142" t="s">
        <v>650</v>
      </c>
      <c r="E142" t="s">
        <v>651</v>
      </c>
      <c r="F142" t="s">
        <v>652</v>
      </c>
      <c r="G142" t="s">
        <v>48</v>
      </c>
      <c r="H142" t="s">
        <v>653</v>
      </c>
      <c r="I142" t="s">
        <v>654</v>
      </c>
      <c r="J142" t="s">
        <v>300</v>
      </c>
      <c r="K142" t="s">
        <v>120</v>
      </c>
      <c r="L142">
        <v>21</v>
      </c>
      <c r="M142">
        <v>105.9</v>
      </c>
      <c r="N142" t="s">
        <v>26</v>
      </c>
      <c r="O142" t="s">
        <v>27</v>
      </c>
      <c r="P142" t="s">
        <v>28</v>
      </c>
      <c r="Q142">
        <f>VLOOKUP(B142,Tabelle2!C:S,17,0)</f>
        <v>0</v>
      </c>
    </row>
    <row r="143" spans="1:17" x14ac:dyDescent="0.3">
      <c r="A143" t="s">
        <v>112</v>
      </c>
      <c r="B143" t="s">
        <v>655</v>
      </c>
      <c r="C143" t="s">
        <v>656</v>
      </c>
      <c r="D143" t="s">
        <v>656</v>
      </c>
      <c r="E143" t="s">
        <v>657</v>
      </c>
      <c r="F143" t="s">
        <v>652</v>
      </c>
      <c r="G143" t="s">
        <v>48</v>
      </c>
      <c r="H143" t="s">
        <v>653</v>
      </c>
      <c r="I143" t="s">
        <v>654</v>
      </c>
      <c r="J143" t="s">
        <v>300</v>
      </c>
      <c r="K143" t="s">
        <v>32</v>
      </c>
      <c r="L143">
        <v>21</v>
      </c>
      <c r="M143">
        <v>105.9</v>
      </c>
      <c r="N143" t="s">
        <v>26</v>
      </c>
      <c r="O143" t="s">
        <v>27</v>
      </c>
      <c r="P143" t="s">
        <v>28</v>
      </c>
      <c r="Q143">
        <f>VLOOKUP(B143,Tabelle2!C:S,17,0)</f>
        <v>0</v>
      </c>
    </row>
    <row r="144" spans="1:17" x14ac:dyDescent="0.3">
      <c r="A144" t="s">
        <v>112</v>
      </c>
      <c r="B144" t="s">
        <v>658</v>
      </c>
      <c r="C144" t="s">
        <v>659</v>
      </c>
      <c r="D144" t="s">
        <v>659</v>
      </c>
      <c r="E144" t="s">
        <v>660</v>
      </c>
      <c r="F144" t="s">
        <v>661</v>
      </c>
      <c r="G144" t="s">
        <v>48</v>
      </c>
      <c r="H144" t="s">
        <v>662</v>
      </c>
      <c r="I144" t="s">
        <v>23</v>
      </c>
      <c r="J144" t="s">
        <v>134</v>
      </c>
      <c r="K144" t="s">
        <v>32</v>
      </c>
      <c r="L144">
        <v>37.6</v>
      </c>
      <c r="M144">
        <v>127</v>
      </c>
      <c r="N144" t="s">
        <v>26</v>
      </c>
      <c r="O144" t="s">
        <v>27</v>
      </c>
      <c r="P144" t="s">
        <v>28</v>
      </c>
      <c r="Q144">
        <f>VLOOKUP(B144,Tabelle2!C:S,17,0)</f>
        <v>0</v>
      </c>
    </row>
    <row r="145" spans="1:17" x14ac:dyDescent="0.3">
      <c r="A145" t="s">
        <v>112</v>
      </c>
      <c r="B145" t="s">
        <v>663</v>
      </c>
      <c r="C145" t="s">
        <v>664</v>
      </c>
      <c r="D145" t="s">
        <v>664</v>
      </c>
      <c r="E145" t="s">
        <v>665</v>
      </c>
      <c r="F145" t="s">
        <v>661</v>
      </c>
      <c r="G145" t="s">
        <v>48</v>
      </c>
      <c r="H145" t="s">
        <v>662</v>
      </c>
      <c r="I145" t="s">
        <v>23</v>
      </c>
      <c r="J145" t="s">
        <v>134</v>
      </c>
      <c r="K145" t="s">
        <v>120</v>
      </c>
      <c r="L145">
        <v>37.6</v>
      </c>
      <c r="M145">
        <v>127</v>
      </c>
      <c r="N145" t="s">
        <v>26</v>
      </c>
      <c r="O145" t="s">
        <v>27</v>
      </c>
      <c r="P145" t="s">
        <v>28</v>
      </c>
      <c r="Q145">
        <f>VLOOKUP(B145,Tabelle2!C:S,17,0)</f>
        <v>0</v>
      </c>
    </row>
    <row r="146" spans="1:17" x14ac:dyDescent="0.3">
      <c r="A146" t="s">
        <v>112</v>
      </c>
      <c r="B146" t="s">
        <v>666</v>
      </c>
      <c r="C146" t="s">
        <v>667</v>
      </c>
      <c r="D146" t="s">
        <v>668</v>
      </c>
      <c r="E146" t="s">
        <v>669</v>
      </c>
      <c r="F146" t="s">
        <v>670</v>
      </c>
      <c r="G146" t="s">
        <v>176</v>
      </c>
      <c r="H146" t="s">
        <v>671</v>
      </c>
      <c r="I146" t="s">
        <v>672</v>
      </c>
      <c r="Q146">
        <f>VLOOKUP(B146,Tabelle2!C:S,17,0)</f>
        <v>0</v>
      </c>
    </row>
    <row r="147" spans="1:17" x14ac:dyDescent="0.3">
      <c r="A147" t="s">
        <v>112</v>
      </c>
      <c r="B147" t="s">
        <v>673</v>
      </c>
      <c r="C147" t="s">
        <v>674</v>
      </c>
      <c r="D147" t="s">
        <v>675</v>
      </c>
      <c r="E147" t="s">
        <v>676</v>
      </c>
      <c r="F147" t="s">
        <v>670</v>
      </c>
      <c r="G147" t="s">
        <v>176</v>
      </c>
      <c r="H147" t="s">
        <v>671</v>
      </c>
      <c r="I147" t="s">
        <v>677</v>
      </c>
      <c r="Q147">
        <f>VLOOKUP(B147,Tabelle2!C:S,17,0)</f>
        <v>0</v>
      </c>
    </row>
    <row r="148" spans="1:17" x14ac:dyDescent="0.3">
      <c r="A148" t="s">
        <v>112</v>
      </c>
      <c r="B148" t="s">
        <v>678</v>
      </c>
      <c r="C148" t="s">
        <v>679</v>
      </c>
      <c r="D148" t="s">
        <v>679</v>
      </c>
      <c r="E148" t="s">
        <v>680</v>
      </c>
      <c r="F148" t="s">
        <v>681</v>
      </c>
      <c r="G148" t="s">
        <v>126</v>
      </c>
      <c r="H148" t="s">
        <v>682</v>
      </c>
      <c r="I148" t="s">
        <v>683</v>
      </c>
      <c r="J148" t="s">
        <v>684</v>
      </c>
      <c r="K148" t="s">
        <v>32</v>
      </c>
      <c r="L148">
        <v>42.9</v>
      </c>
      <c r="M148">
        <v>74.599999999999994</v>
      </c>
      <c r="N148" t="s">
        <v>121</v>
      </c>
      <c r="O148" t="s">
        <v>27</v>
      </c>
      <c r="P148" t="s">
        <v>28</v>
      </c>
      <c r="Q148">
        <f>VLOOKUP(B148,Tabelle2!C:S,17,0)</f>
        <v>0</v>
      </c>
    </row>
    <row r="149" spans="1:17" x14ac:dyDescent="0.3">
      <c r="A149" t="s">
        <v>112</v>
      </c>
      <c r="B149" t="s">
        <v>685</v>
      </c>
      <c r="C149" t="s">
        <v>686</v>
      </c>
      <c r="D149" t="s">
        <v>686</v>
      </c>
      <c r="E149" t="s">
        <v>687</v>
      </c>
      <c r="F149" t="s">
        <v>681</v>
      </c>
      <c r="G149" t="s">
        <v>126</v>
      </c>
      <c r="H149" t="s">
        <v>682</v>
      </c>
      <c r="I149" t="s">
        <v>683</v>
      </c>
      <c r="J149" t="s">
        <v>684</v>
      </c>
      <c r="K149" t="s">
        <v>120</v>
      </c>
      <c r="L149">
        <v>42.9</v>
      </c>
      <c r="M149">
        <v>74.599999999999994</v>
      </c>
      <c r="N149" t="s">
        <v>121</v>
      </c>
      <c r="O149" t="s">
        <v>27</v>
      </c>
      <c r="P149" t="s">
        <v>28</v>
      </c>
      <c r="Q149">
        <f>VLOOKUP(B149,Tabelle2!C:S,17,0)</f>
        <v>0</v>
      </c>
    </row>
    <row r="150" spans="1:17" x14ac:dyDescent="0.3">
      <c r="A150" t="s">
        <v>112</v>
      </c>
      <c r="B150" t="s">
        <v>688</v>
      </c>
      <c r="C150" t="s">
        <v>689</v>
      </c>
      <c r="D150" t="s">
        <v>689</v>
      </c>
      <c r="E150" t="s">
        <v>690</v>
      </c>
      <c r="F150" t="s">
        <v>691</v>
      </c>
      <c r="G150" t="s">
        <v>48</v>
      </c>
      <c r="H150" t="s">
        <v>49</v>
      </c>
      <c r="I150" t="s">
        <v>50</v>
      </c>
      <c r="J150" t="s">
        <v>51</v>
      </c>
      <c r="K150" t="s">
        <v>120</v>
      </c>
      <c r="L150">
        <v>22</v>
      </c>
      <c r="M150">
        <v>100</v>
      </c>
      <c r="N150" t="s">
        <v>26</v>
      </c>
      <c r="O150" t="s">
        <v>27</v>
      </c>
      <c r="P150" t="s">
        <v>28</v>
      </c>
      <c r="Q150">
        <f>VLOOKUP(B150,Tabelle2!C:S,17,0)</f>
        <v>0</v>
      </c>
    </row>
    <row r="151" spans="1:17" x14ac:dyDescent="0.3">
      <c r="A151" t="s">
        <v>112</v>
      </c>
      <c r="B151" t="s">
        <v>692</v>
      </c>
      <c r="C151" t="s">
        <v>693</v>
      </c>
      <c r="D151" t="s">
        <v>693</v>
      </c>
      <c r="E151" t="s">
        <v>694</v>
      </c>
      <c r="F151" t="s">
        <v>691</v>
      </c>
      <c r="G151" t="s">
        <v>48</v>
      </c>
      <c r="H151" t="s">
        <v>49</v>
      </c>
      <c r="I151" t="s">
        <v>50</v>
      </c>
      <c r="J151" t="s">
        <v>51</v>
      </c>
      <c r="K151" t="s">
        <v>32</v>
      </c>
      <c r="L151">
        <v>22</v>
      </c>
      <c r="M151">
        <v>100</v>
      </c>
      <c r="N151" t="s">
        <v>26</v>
      </c>
      <c r="O151" t="s">
        <v>27</v>
      </c>
      <c r="P151" t="s">
        <v>28</v>
      </c>
      <c r="Q151">
        <f>VLOOKUP(B151,Tabelle2!C:S,17,0)</f>
        <v>0</v>
      </c>
    </row>
    <row r="152" spans="1:17" x14ac:dyDescent="0.3">
      <c r="A152" t="s">
        <v>112</v>
      </c>
      <c r="B152" t="s">
        <v>695</v>
      </c>
      <c r="C152" t="s">
        <v>696</v>
      </c>
      <c r="D152" t="s">
        <v>696</v>
      </c>
      <c r="E152" t="s">
        <v>697</v>
      </c>
      <c r="F152" t="s">
        <v>698</v>
      </c>
      <c r="G152" t="s">
        <v>37</v>
      </c>
      <c r="H152" t="s">
        <v>127</v>
      </c>
      <c r="I152" t="s">
        <v>699</v>
      </c>
      <c r="J152" t="s">
        <v>146</v>
      </c>
      <c r="K152" t="s">
        <v>32</v>
      </c>
      <c r="L152">
        <v>42.116999999999997</v>
      </c>
      <c r="M152">
        <v>48.183</v>
      </c>
      <c r="N152" t="s">
        <v>121</v>
      </c>
      <c r="O152" t="s">
        <v>27</v>
      </c>
      <c r="P152" t="s">
        <v>28</v>
      </c>
      <c r="Q152">
        <f>VLOOKUP(B152,Tabelle2!C:S,17,0)</f>
        <v>0</v>
      </c>
    </row>
    <row r="153" spans="1:17" x14ac:dyDescent="0.3">
      <c r="A153" t="s">
        <v>112</v>
      </c>
      <c r="B153" t="s">
        <v>700</v>
      </c>
      <c r="C153" t="s">
        <v>701</v>
      </c>
      <c r="D153" t="s">
        <v>701</v>
      </c>
      <c r="E153" t="s">
        <v>702</v>
      </c>
      <c r="F153" t="s">
        <v>698</v>
      </c>
      <c r="G153" t="s">
        <v>37</v>
      </c>
      <c r="H153" t="s">
        <v>127</v>
      </c>
      <c r="I153" t="s">
        <v>699</v>
      </c>
      <c r="J153" t="s">
        <v>146</v>
      </c>
      <c r="K153" t="s">
        <v>32</v>
      </c>
      <c r="L153">
        <v>42.116999999999997</v>
      </c>
      <c r="M153">
        <v>48.183</v>
      </c>
      <c r="N153" t="s">
        <v>121</v>
      </c>
      <c r="O153" t="s">
        <v>27</v>
      </c>
      <c r="P153" t="s">
        <v>28</v>
      </c>
      <c r="Q153">
        <f>VLOOKUP(B153,Tabelle2!C:S,17,0)</f>
        <v>0</v>
      </c>
    </row>
    <row r="154" spans="1:17" x14ac:dyDescent="0.3">
      <c r="A154" t="s">
        <v>112</v>
      </c>
      <c r="B154" t="s">
        <v>703</v>
      </c>
      <c r="C154" t="s">
        <v>704</v>
      </c>
      <c r="D154" t="s">
        <v>704</v>
      </c>
      <c r="E154" t="s">
        <v>705</v>
      </c>
      <c r="F154" t="s">
        <v>706</v>
      </c>
      <c r="G154" t="s">
        <v>56</v>
      </c>
      <c r="H154" t="s">
        <v>207</v>
      </c>
      <c r="I154" t="s">
        <v>707</v>
      </c>
      <c r="J154" t="s">
        <v>134</v>
      </c>
      <c r="K154" t="s">
        <v>120</v>
      </c>
      <c r="L154">
        <v>1.3</v>
      </c>
      <c r="M154">
        <v>36.799999999999997</v>
      </c>
      <c r="N154" t="s">
        <v>26</v>
      </c>
      <c r="O154" t="s">
        <v>27</v>
      </c>
      <c r="P154" t="s">
        <v>28</v>
      </c>
      <c r="Q154">
        <f>VLOOKUP(B154,Tabelle2!C:S,17,0)</f>
        <v>0</v>
      </c>
    </row>
    <row r="155" spans="1:17" x14ac:dyDescent="0.3">
      <c r="A155" t="s">
        <v>112</v>
      </c>
      <c r="B155" t="s">
        <v>708</v>
      </c>
      <c r="C155" t="s">
        <v>709</v>
      </c>
      <c r="D155" t="s">
        <v>709</v>
      </c>
      <c r="E155" t="s">
        <v>710</v>
      </c>
      <c r="F155" t="s">
        <v>706</v>
      </c>
      <c r="G155" t="s">
        <v>56</v>
      </c>
      <c r="H155" t="s">
        <v>207</v>
      </c>
      <c r="I155" t="s">
        <v>707</v>
      </c>
      <c r="J155" t="s">
        <v>134</v>
      </c>
      <c r="K155" t="s">
        <v>32</v>
      </c>
      <c r="L155">
        <v>1.3</v>
      </c>
      <c r="M155">
        <v>36.799999999999997</v>
      </c>
      <c r="N155" t="s">
        <v>26</v>
      </c>
      <c r="O155" t="s">
        <v>27</v>
      </c>
      <c r="P155" t="s">
        <v>28</v>
      </c>
      <c r="Q155">
        <f>VLOOKUP(B155,Tabelle2!C:S,17,0)</f>
        <v>0</v>
      </c>
    </row>
    <row r="156" spans="1:17" x14ac:dyDescent="0.3">
      <c r="A156" t="s">
        <v>112</v>
      </c>
      <c r="B156" t="s">
        <v>711</v>
      </c>
      <c r="C156" t="s">
        <v>712</v>
      </c>
      <c r="D156" t="s">
        <v>712</v>
      </c>
      <c r="E156" t="s">
        <v>713</v>
      </c>
      <c r="F156" t="s">
        <v>714</v>
      </c>
      <c r="G156" t="s">
        <v>56</v>
      </c>
      <c r="H156" t="s">
        <v>207</v>
      </c>
      <c r="I156" t="s">
        <v>715</v>
      </c>
      <c r="J156" t="s">
        <v>209</v>
      </c>
      <c r="K156" t="s">
        <v>32</v>
      </c>
      <c r="L156">
        <v>-0.1</v>
      </c>
      <c r="M156">
        <v>34.299999999999997</v>
      </c>
      <c r="N156" t="s">
        <v>121</v>
      </c>
      <c r="O156" t="s">
        <v>27</v>
      </c>
      <c r="P156" t="s">
        <v>28</v>
      </c>
      <c r="Q156">
        <f>VLOOKUP(B156,Tabelle2!C:S,17,0)</f>
        <v>0</v>
      </c>
    </row>
    <row r="157" spans="1:17" x14ac:dyDescent="0.3">
      <c r="A157" t="s">
        <v>112</v>
      </c>
      <c r="B157" t="s">
        <v>716</v>
      </c>
      <c r="C157" t="s">
        <v>717</v>
      </c>
      <c r="D157" t="s">
        <v>717</v>
      </c>
      <c r="E157" t="s">
        <v>718</v>
      </c>
      <c r="F157" t="s">
        <v>714</v>
      </c>
      <c r="G157" t="s">
        <v>56</v>
      </c>
      <c r="H157" t="s">
        <v>207</v>
      </c>
      <c r="I157" t="s">
        <v>715</v>
      </c>
      <c r="J157" t="s">
        <v>209</v>
      </c>
      <c r="K157" t="s">
        <v>120</v>
      </c>
      <c r="L157">
        <v>-0.1</v>
      </c>
      <c r="M157">
        <v>34.299999999999997</v>
      </c>
      <c r="N157" t="s">
        <v>121</v>
      </c>
      <c r="O157" t="s">
        <v>27</v>
      </c>
      <c r="P157" t="s">
        <v>28</v>
      </c>
      <c r="Q157">
        <f>VLOOKUP(B157,Tabelle2!C:S,17,0)</f>
        <v>0</v>
      </c>
    </row>
    <row r="158" spans="1:17" x14ac:dyDescent="0.3">
      <c r="A158" t="s">
        <v>112</v>
      </c>
      <c r="B158" t="s">
        <v>719</v>
      </c>
      <c r="C158" t="s">
        <v>720</v>
      </c>
      <c r="D158" t="s">
        <v>720</v>
      </c>
      <c r="E158" t="s">
        <v>721</v>
      </c>
      <c r="F158" t="s">
        <v>722</v>
      </c>
      <c r="G158" t="s">
        <v>176</v>
      </c>
      <c r="H158" t="s">
        <v>177</v>
      </c>
      <c r="I158" t="s">
        <v>403</v>
      </c>
      <c r="J158" t="s">
        <v>178</v>
      </c>
      <c r="K158" t="s">
        <v>32</v>
      </c>
      <c r="L158">
        <v>17.7</v>
      </c>
      <c r="M158">
        <v>83.3</v>
      </c>
      <c r="N158" t="s">
        <v>121</v>
      </c>
      <c r="O158" t="s">
        <v>27</v>
      </c>
      <c r="P158" t="s">
        <v>28</v>
      </c>
      <c r="Q158">
        <f>VLOOKUP(B158,Tabelle2!C:S,17,0)</f>
        <v>0</v>
      </c>
    </row>
    <row r="159" spans="1:17" x14ac:dyDescent="0.3">
      <c r="A159" t="s">
        <v>112</v>
      </c>
      <c r="B159" t="s">
        <v>723</v>
      </c>
      <c r="C159" t="s">
        <v>724</v>
      </c>
      <c r="D159" t="s">
        <v>724</v>
      </c>
      <c r="E159" t="s">
        <v>725</v>
      </c>
      <c r="F159" t="s">
        <v>722</v>
      </c>
      <c r="G159" t="s">
        <v>176</v>
      </c>
      <c r="H159" t="s">
        <v>177</v>
      </c>
      <c r="I159" t="s">
        <v>403</v>
      </c>
      <c r="J159" t="s">
        <v>178</v>
      </c>
      <c r="K159" t="s">
        <v>32</v>
      </c>
      <c r="L159">
        <v>17.7</v>
      </c>
      <c r="M159">
        <v>83.3</v>
      </c>
      <c r="N159" t="s">
        <v>121</v>
      </c>
      <c r="O159" t="s">
        <v>27</v>
      </c>
      <c r="P159" t="s">
        <v>28</v>
      </c>
      <c r="Q159">
        <f>VLOOKUP(B159,Tabelle2!C:S,17,0)</f>
        <v>0</v>
      </c>
    </row>
    <row r="160" spans="1:17" x14ac:dyDescent="0.3">
      <c r="A160" t="s">
        <v>112</v>
      </c>
      <c r="B160" t="s">
        <v>726</v>
      </c>
      <c r="C160" t="s">
        <v>727</v>
      </c>
      <c r="D160" t="s">
        <v>727</v>
      </c>
      <c r="E160" t="s">
        <v>728</v>
      </c>
      <c r="F160" t="s">
        <v>729</v>
      </c>
      <c r="G160" t="s">
        <v>176</v>
      </c>
      <c r="H160" t="s">
        <v>225</v>
      </c>
      <c r="I160" t="s">
        <v>50</v>
      </c>
      <c r="J160" t="s">
        <v>51</v>
      </c>
      <c r="K160" t="s">
        <v>32</v>
      </c>
      <c r="L160">
        <v>26</v>
      </c>
      <c r="M160">
        <v>64</v>
      </c>
      <c r="N160" t="s">
        <v>26</v>
      </c>
      <c r="O160" t="s">
        <v>27</v>
      </c>
      <c r="P160" t="s">
        <v>28</v>
      </c>
      <c r="Q160">
        <f>VLOOKUP(B160,Tabelle2!C:S,17,0)</f>
        <v>0</v>
      </c>
    </row>
    <row r="161" spans="1:17" x14ac:dyDescent="0.3">
      <c r="A161" t="s">
        <v>112</v>
      </c>
      <c r="B161" t="s">
        <v>730</v>
      </c>
      <c r="C161" t="s">
        <v>731</v>
      </c>
      <c r="D161" t="s">
        <v>731</v>
      </c>
      <c r="E161" t="s">
        <v>732</v>
      </c>
      <c r="F161" t="s">
        <v>729</v>
      </c>
      <c r="G161" t="s">
        <v>176</v>
      </c>
      <c r="H161" t="s">
        <v>225</v>
      </c>
      <c r="I161" t="s">
        <v>50</v>
      </c>
      <c r="J161" t="s">
        <v>51</v>
      </c>
      <c r="K161" t="s">
        <v>120</v>
      </c>
      <c r="L161">
        <v>26</v>
      </c>
      <c r="M161">
        <v>64</v>
      </c>
      <c r="N161" t="s">
        <v>26</v>
      </c>
      <c r="O161" t="s">
        <v>27</v>
      </c>
      <c r="P161" t="s">
        <v>28</v>
      </c>
      <c r="Q161">
        <f>VLOOKUP(B161,Tabelle2!C:S,17,0)</f>
        <v>0</v>
      </c>
    </row>
    <row r="162" spans="1:17" x14ac:dyDescent="0.3">
      <c r="A162" t="s">
        <v>112</v>
      </c>
      <c r="B162" t="s">
        <v>733</v>
      </c>
      <c r="C162" t="s">
        <v>734</v>
      </c>
      <c r="D162" t="s">
        <v>734</v>
      </c>
      <c r="E162" t="s">
        <v>735</v>
      </c>
      <c r="F162" t="s">
        <v>736</v>
      </c>
      <c r="G162" t="s">
        <v>176</v>
      </c>
      <c r="H162" t="s">
        <v>177</v>
      </c>
      <c r="I162" t="s">
        <v>403</v>
      </c>
      <c r="J162" t="s">
        <v>178</v>
      </c>
      <c r="K162" t="s">
        <v>32</v>
      </c>
      <c r="L162">
        <v>17.7</v>
      </c>
      <c r="M162">
        <v>83.3</v>
      </c>
      <c r="N162" t="s">
        <v>121</v>
      </c>
      <c r="O162" t="s">
        <v>27</v>
      </c>
      <c r="P162" t="s">
        <v>28</v>
      </c>
      <c r="Q162">
        <f>VLOOKUP(B162,Tabelle2!C:S,17,0)</f>
        <v>0</v>
      </c>
    </row>
    <row r="163" spans="1:17" x14ac:dyDescent="0.3">
      <c r="A163" t="s">
        <v>112</v>
      </c>
      <c r="B163" t="s">
        <v>737</v>
      </c>
      <c r="C163" t="s">
        <v>738</v>
      </c>
      <c r="D163" t="s">
        <v>738</v>
      </c>
      <c r="E163" t="s">
        <v>739</v>
      </c>
      <c r="F163" t="s">
        <v>736</v>
      </c>
      <c r="G163" t="s">
        <v>176</v>
      </c>
      <c r="H163" t="s">
        <v>177</v>
      </c>
      <c r="I163" t="s">
        <v>403</v>
      </c>
      <c r="J163" t="s">
        <v>178</v>
      </c>
      <c r="K163" t="s">
        <v>32</v>
      </c>
      <c r="L163">
        <v>17.7</v>
      </c>
      <c r="M163">
        <v>83.3</v>
      </c>
      <c r="N163" t="s">
        <v>121</v>
      </c>
      <c r="O163" t="s">
        <v>27</v>
      </c>
      <c r="P163" t="s">
        <v>28</v>
      </c>
      <c r="Q163">
        <f>VLOOKUP(B163,Tabelle2!C:S,17,0)</f>
        <v>0</v>
      </c>
    </row>
    <row r="164" spans="1:17" x14ac:dyDescent="0.3">
      <c r="A164" t="s">
        <v>112</v>
      </c>
      <c r="B164" t="s">
        <v>740</v>
      </c>
      <c r="C164" t="s">
        <v>741</v>
      </c>
      <c r="D164" t="s">
        <v>741</v>
      </c>
      <c r="E164" t="s">
        <v>742</v>
      </c>
      <c r="F164" t="s">
        <v>84</v>
      </c>
      <c r="G164" t="s">
        <v>56</v>
      </c>
      <c r="H164" t="s">
        <v>85</v>
      </c>
      <c r="I164" t="s">
        <v>50</v>
      </c>
      <c r="J164" t="s">
        <v>51</v>
      </c>
      <c r="K164" t="s">
        <v>32</v>
      </c>
      <c r="L164">
        <v>12</v>
      </c>
      <c r="M164">
        <v>-12</v>
      </c>
      <c r="N164" t="s">
        <v>26</v>
      </c>
      <c r="O164" t="s">
        <v>27</v>
      </c>
      <c r="P164" t="s">
        <v>28</v>
      </c>
      <c r="Q164">
        <f>VLOOKUP(B164,Tabelle2!C:S,17,0)</f>
        <v>0</v>
      </c>
    </row>
    <row r="165" spans="1:17" x14ac:dyDescent="0.3">
      <c r="A165" t="s">
        <v>112</v>
      </c>
      <c r="B165" t="s">
        <v>743</v>
      </c>
      <c r="C165" t="s">
        <v>744</v>
      </c>
      <c r="D165" t="s">
        <v>744</v>
      </c>
      <c r="E165" t="s">
        <v>745</v>
      </c>
      <c r="F165" t="s">
        <v>84</v>
      </c>
      <c r="G165" t="s">
        <v>56</v>
      </c>
      <c r="H165" t="s">
        <v>85</v>
      </c>
      <c r="I165" t="s">
        <v>50</v>
      </c>
      <c r="J165" t="s">
        <v>51</v>
      </c>
      <c r="K165" t="s">
        <v>120</v>
      </c>
      <c r="L165">
        <v>12</v>
      </c>
      <c r="M165">
        <v>-12</v>
      </c>
      <c r="N165" t="s">
        <v>26</v>
      </c>
      <c r="O165" t="s">
        <v>27</v>
      </c>
      <c r="P165" t="s">
        <v>28</v>
      </c>
      <c r="Q165">
        <f>VLOOKUP(B165,Tabelle2!C:S,17,0)</f>
        <v>0</v>
      </c>
    </row>
    <row r="166" spans="1:17" x14ac:dyDescent="0.3">
      <c r="A166" t="s">
        <v>112</v>
      </c>
      <c r="B166" t="s">
        <v>746</v>
      </c>
      <c r="C166" t="s">
        <v>747</v>
      </c>
      <c r="D166" t="s">
        <v>747</v>
      </c>
      <c r="E166" t="s">
        <v>748</v>
      </c>
      <c r="F166" t="s">
        <v>749</v>
      </c>
      <c r="G166" t="s">
        <v>126</v>
      </c>
      <c r="H166" t="s">
        <v>127</v>
      </c>
      <c r="I166" t="s">
        <v>750</v>
      </c>
      <c r="Q166">
        <f>VLOOKUP(B166,Tabelle2!C:S,17,0)</f>
        <v>0</v>
      </c>
    </row>
    <row r="167" spans="1:17" x14ac:dyDescent="0.3">
      <c r="A167" t="s">
        <v>112</v>
      </c>
      <c r="B167" t="s">
        <v>751</v>
      </c>
      <c r="C167" t="s">
        <v>752</v>
      </c>
      <c r="D167" t="s">
        <v>752</v>
      </c>
      <c r="E167" t="s">
        <v>753</v>
      </c>
      <c r="F167" t="s">
        <v>749</v>
      </c>
      <c r="G167" t="s">
        <v>126</v>
      </c>
      <c r="H167" t="s">
        <v>127</v>
      </c>
      <c r="I167" t="s">
        <v>754</v>
      </c>
      <c r="Q167">
        <f>VLOOKUP(B167,Tabelle2!C:S,17,0)</f>
        <v>0</v>
      </c>
    </row>
    <row r="168" spans="1:17" x14ac:dyDescent="0.3">
      <c r="A168" t="s">
        <v>112</v>
      </c>
      <c r="B168" t="s">
        <v>755</v>
      </c>
      <c r="C168" t="s">
        <v>756</v>
      </c>
      <c r="D168" t="s">
        <v>756</v>
      </c>
      <c r="E168" t="s">
        <v>757</v>
      </c>
      <c r="F168" t="s">
        <v>758</v>
      </c>
      <c r="G168" t="s">
        <v>79</v>
      </c>
      <c r="H168" t="s">
        <v>95</v>
      </c>
      <c r="I168" t="s">
        <v>50</v>
      </c>
      <c r="J168" t="s">
        <v>51</v>
      </c>
      <c r="K168" t="s">
        <v>120</v>
      </c>
      <c r="L168">
        <v>19</v>
      </c>
      <c r="M168">
        <v>-91</v>
      </c>
      <c r="N168" t="s">
        <v>26</v>
      </c>
      <c r="O168" t="s">
        <v>27</v>
      </c>
      <c r="P168" t="s">
        <v>28</v>
      </c>
      <c r="Q168">
        <f>VLOOKUP(B168,Tabelle2!C:S,17,0)</f>
        <v>0</v>
      </c>
    </row>
    <row r="169" spans="1:17" x14ac:dyDescent="0.3">
      <c r="A169" t="s">
        <v>112</v>
      </c>
      <c r="B169" t="s">
        <v>759</v>
      </c>
      <c r="C169" t="s">
        <v>760</v>
      </c>
      <c r="D169" t="s">
        <v>760</v>
      </c>
      <c r="E169" t="s">
        <v>761</v>
      </c>
      <c r="F169" t="s">
        <v>758</v>
      </c>
      <c r="G169" t="s">
        <v>79</v>
      </c>
      <c r="H169" t="s">
        <v>95</v>
      </c>
      <c r="I169" t="s">
        <v>50</v>
      </c>
      <c r="J169" t="s">
        <v>51</v>
      </c>
      <c r="K169" t="s">
        <v>120</v>
      </c>
      <c r="L169">
        <v>19</v>
      </c>
      <c r="M169">
        <v>-91</v>
      </c>
      <c r="N169" t="s">
        <v>26</v>
      </c>
      <c r="O169" t="s">
        <v>27</v>
      </c>
      <c r="P169" t="s">
        <v>28</v>
      </c>
      <c r="Q169">
        <f>VLOOKUP(B169,Tabelle2!C:S,17,0)</f>
        <v>0</v>
      </c>
    </row>
    <row r="170" spans="1:17" x14ac:dyDescent="0.3">
      <c r="A170" t="s">
        <v>112</v>
      </c>
      <c r="B170" t="s">
        <v>762</v>
      </c>
      <c r="C170" t="s">
        <v>763</v>
      </c>
      <c r="D170" t="s">
        <v>763</v>
      </c>
      <c r="E170" t="s">
        <v>764</v>
      </c>
      <c r="F170" t="s">
        <v>765</v>
      </c>
      <c r="G170" t="s">
        <v>56</v>
      </c>
      <c r="H170" t="s">
        <v>766</v>
      </c>
      <c r="I170" t="s">
        <v>50</v>
      </c>
      <c r="J170" t="s">
        <v>300</v>
      </c>
      <c r="K170" t="s">
        <v>32</v>
      </c>
      <c r="L170">
        <v>8.5</v>
      </c>
      <c r="M170">
        <v>-13.2</v>
      </c>
      <c r="N170" t="s">
        <v>26</v>
      </c>
      <c r="O170" t="s">
        <v>27</v>
      </c>
      <c r="P170" t="s">
        <v>28</v>
      </c>
      <c r="Q170">
        <f>VLOOKUP(B170,Tabelle2!C:S,17,0)</f>
        <v>0</v>
      </c>
    </row>
    <row r="171" spans="1:17" x14ac:dyDescent="0.3">
      <c r="A171" t="s">
        <v>112</v>
      </c>
      <c r="B171" t="s">
        <v>767</v>
      </c>
      <c r="C171" t="s">
        <v>768</v>
      </c>
      <c r="D171" t="s">
        <v>768</v>
      </c>
      <c r="E171" t="s">
        <v>769</v>
      </c>
      <c r="F171" t="s">
        <v>765</v>
      </c>
      <c r="G171" t="s">
        <v>56</v>
      </c>
      <c r="H171" t="s">
        <v>766</v>
      </c>
      <c r="I171" t="s">
        <v>50</v>
      </c>
      <c r="J171" t="s">
        <v>300</v>
      </c>
      <c r="K171" t="s">
        <v>120</v>
      </c>
      <c r="L171">
        <v>8.5</v>
      </c>
      <c r="M171">
        <v>-13.2</v>
      </c>
      <c r="N171" t="s">
        <v>26</v>
      </c>
      <c r="O171" t="s">
        <v>27</v>
      </c>
      <c r="P171" t="s">
        <v>28</v>
      </c>
      <c r="Q171">
        <f>VLOOKUP(B171,Tabelle2!C:S,17,0)</f>
        <v>0</v>
      </c>
    </row>
    <row r="172" spans="1:17" x14ac:dyDescent="0.3">
      <c r="A172" t="s">
        <v>112</v>
      </c>
      <c r="B172" t="s">
        <v>770</v>
      </c>
      <c r="C172" t="s">
        <v>771</v>
      </c>
      <c r="D172" t="s">
        <v>771</v>
      </c>
      <c r="E172" t="s">
        <v>772</v>
      </c>
      <c r="F172" t="s">
        <v>773</v>
      </c>
      <c r="G172" t="s">
        <v>48</v>
      </c>
      <c r="H172" t="s">
        <v>49</v>
      </c>
      <c r="I172" t="s">
        <v>50</v>
      </c>
      <c r="J172" t="s">
        <v>51</v>
      </c>
      <c r="K172" t="s">
        <v>32</v>
      </c>
      <c r="L172">
        <v>28</v>
      </c>
      <c r="M172">
        <v>109</v>
      </c>
      <c r="N172" t="s">
        <v>26</v>
      </c>
      <c r="O172" t="s">
        <v>27</v>
      </c>
      <c r="P172" t="s">
        <v>28</v>
      </c>
      <c r="Q172">
        <f>VLOOKUP(B172,Tabelle2!C:S,17,0)</f>
        <v>0</v>
      </c>
    </row>
    <row r="173" spans="1:17" x14ac:dyDescent="0.3">
      <c r="A173" t="s">
        <v>112</v>
      </c>
      <c r="B173" t="s">
        <v>774</v>
      </c>
      <c r="C173" t="s">
        <v>775</v>
      </c>
      <c r="D173" t="s">
        <v>775</v>
      </c>
      <c r="E173" t="s">
        <v>776</v>
      </c>
      <c r="F173" t="s">
        <v>773</v>
      </c>
      <c r="G173" t="s">
        <v>48</v>
      </c>
      <c r="H173" t="s">
        <v>49</v>
      </c>
      <c r="I173" t="s">
        <v>50</v>
      </c>
      <c r="J173" t="s">
        <v>51</v>
      </c>
      <c r="K173" t="s">
        <v>120</v>
      </c>
      <c r="L173">
        <v>28</v>
      </c>
      <c r="M173">
        <v>109</v>
      </c>
      <c r="N173" t="s">
        <v>26</v>
      </c>
      <c r="O173" t="s">
        <v>27</v>
      </c>
      <c r="P173" t="s">
        <v>28</v>
      </c>
      <c r="Q173">
        <f>VLOOKUP(B173,Tabelle2!C:S,17,0)</f>
        <v>0</v>
      </c>
    </row>
    <row r="174" spans="1:17" x14ac:dyDescent="0.3">
      <c r="A174" t="s">
        <v>112</v>
      </c>
      <c r="B174" t="s">
        <v>777</v>
      </c>
      <c r="C174" t="s">
        <v>778</v>
      </c>
      <c r="D174" t="s">
        <v>778</v>
      </c>
      <c r="E174" t="s">
        <v>779</v>
      </c>
      <c r="F174" t="s">
        <v>94</v>
      </c>
      <c r="G174" t="s">
        <v>79</v>
      </c>
      <c r="H174" t="s">
        <v>95</v>
      </c>
      <c r="I174" t="s">
        <v>96</v>
      </c>
      <c r="Q174">
        <f>VLOOKUP(B174,Tabelle2!C:S,17,0)</f>
        <v>0</v>
      </c>
    </row>
    <row r="175" spans="1:17" x14ac:dyDescent="0.3">
      <c r="A175" t="s">
        <v>112</v>
      </c>
      <c r="B175" t="s">
        <v>780</v>
      </c>
      <c r="C175" t="s">
        <v>781</v>
      </c>
      <c r="D175" t="s">
        <v>781</v>
      </c>
      <c r="E175" t="s">
        <v>782</v>
      </c>
      <c r="F175" t="s">
        <v>94</v>
      </c>
      <c r="G175" t="s">
        <v>79</v>
      </c>
      <c r="H175" t="s">
        <v>95</v>
      </c>
      <c r="I175" t="s">
        <v>783</v>
      </c>
      <c r="Q175">
        <f>VLOOKUP(B175,Tabelle2!C:S,17,0)</f>
        <v>0</v>
      </c>
    </row>
    <row r="176" spans="1:17" x14ac:dyDescent="0.3">
      <c r="A176" t="s">
        <v>112</v>
      </c>
      <c r="B176" t="s">
        <v>784</v>
      </c>
      <c r="C176" t="s">
        <v>785</v>
      </c>
      <c r="D176" t="s">
        <v>785</v>
      </c>
      <c r="E176" t="s">
        <v>786</v>
      </c>
      <c r="F176" t="s">
        <v>787</v>
      </c>
      <c r="G176" t="s">
        <v>79</v>
      </c>
      <c r="H176" t="s">
        <v>95</v>
      </c>
      <c r="I176" t="s">
        <v>788</v>
      </c>
      <c r="J176" t="s">
        <v>789</v>
      </c>
      <c r="K176" t="s">
        <v>32</v>
      </c>
      <c r="L176">
        <v>17</v>
      </c>
      <c r="M176">
        <v>-97</v>
      </c>
      <c r="N176" t="s">
        <v>26</v>
      </c>
      <c r="O176" t="s">
        <v>27</v>
      </c>
      <c r="P176" t="s">
        <v>28</v>
      </c>
      <c r="Q176">
        <f>VLOOKUP(B176,Tabelle2!C:S,17,0)</f>
        <v>0</v>
      </c>
    </row>
    <row r="177" spans="1:17" x14ac:dyDescent="0.3">
      <c r="A177" t="s">
        <v>112</v>
      </c>
      <c r="B177" t="s">
        <v>790</v>
      </c>
      <c r="C177" t="s">
        <v>791</v>
      </c>
      <c r="D177" t="s">
        <v>791</v>
      </c>
      <c r="E177" t="s">
        <v>792</v>
      </c>
      <c r="F177" t="s">
        <v>787</v>
      </c>
      <c r="G177" t="s">
        <v>79</v>
      </c>
      <c r="H177" t="s">
        <v>95</v>
      </c>
      <c r="I177" t="s">
        <v>50</v>
      </c>
      <c r="J177" t="s">
        <v>789</v>
      </c>
      <c r="K177" t="s">
        <v>120</v>
      </c>
      <c r="L177">
        <v>17</v>
      </c>
      <c r="M177">
        <v>-97</v>
      </c>
      <c r="N177" t="s">
        <v>26</v>
      </c>
      <c r="O177" t="s">
        <v>27</v>
      </c>
      <c r="P177" t="s">
        <v>28</v>
      </c>
      <c r="Q177">
        <f>VLOOKUP(B177,Tabelle2!C:S,17,0)</f>
        <v>0</v>
      </c>
    </row>
    <row r="178" spans="1:17" x14ac:dyDescent="0.3">
      <c r="A178" t="s">
        <v>112</v>
      </c>
      <c r="B178" t="s">
        <v>793</v>
      </c>
      <c r="C178" t="s">
        <v>794</v>
      </c>
      <c r="D178" t="s">
        <v>794</v>
      </c>
      <c r="E178" t="s">
        <v>795</v>
      </c>
      <c r="F178" t="s">
        <v>796</v>
      </c>
      <c r="G178" t="s">
        <v>126</v>
      </c>
      <c r="H178" t="s">
        <v>49</v>
      </c>
      <c r="I178" t="s">
        <v>50</v>
      </c>
      <c r="J178" t="s">
        <v>51</v>
      </c>
      <c r="K178" t="s">
        <v>32</v>
      </c>
      <c r="L178">
        <v>45</v>
      </c>
      <c r="M178">
        <v>111</v>
      </c>
      <c r="N178" t="s">
        <v>26</v>
      </c>
      <c r="O178" t="s">
        <v>27</v>
      </c>
      <c r="P178" t="s">
        <v>28</v>
      </c>
      <c r="Q178">
        <f>VLOOKUP(B178,Tabelle2!C:S,17,0)</f>
        <v>0</v>
      </c>
    </row>
    <row r="179" spans="1:17" x14ac:dyDescent="0.3">
      <c r="A179" t="s">
        <v>112</v>
      </c>
      <c r="B179" t="s">
        <v>797</v>
      </c>
      <c r="C179" t="s">
        <v>798</v>
      </c>
      <c r="D179" t="s">
        <v>798</v>
      </c>
      <c r="E179" t="s">
        <v>799</v>
      </c>
      <c r="F179" t="s">
        <v>796</v>
      </c>
      <c r="G179" t="s">
        <v>126</v>
      </c>
      <c r="H179" t="s">
        <v>49</v>
      </c>
      <c r="I179" t="s">
        <v>50</v>
      </c>
      <c r="J179" t="s">
        <v>51</v>
      </c>
      <c r="K179" t="s">
        <v>120</v>
      </c>
      <c r="L179">
        <v>45</v>
      </c>
      <c r="M179">
        <v>111</v>
      </c>
      <c r="N179" t="s">
        <v>26</v>
      </c>
      <c r="O179" t="s">
        <v>27</v>
      </c>
      <c r="P179" t="s">
        <v>28</v>
      </c>
      <c r="Q179">
        <f>VLOOKUP(B179,Tabelle2!C:S,17,0)</f>
        <v>0</v>
      </c>
    </row>
    <row r="180" spans="1:17" x14ac:dyDescent="0.3">
      <c r="A180" t="s">
        <v>112</v>
      </c>
      <c r="B180" t="s">
        <v>800</v>
      </c>
      <c r="C180" t="s">
        <v>801</v>
      </c>
      <c r="D180" t="s">
        <v>801</v>
      </c>
      <c r="E180" t="s">
        <v>802</v>
      </c>
      <c r="F180" t="s">
        <v>803</v>
      </c>
      <c r="G180" t="s">
        <v>37</v>
      </c>
      <c r="H180" t="s">
        <v>127</v>
      </c>
      <c r="I180" t="s">
        <v>804</v>
      </c>
      <c r="J180" t="s">
        <v>146</v>
      </c>
      <c r="K180" t="s">
        <v>32</v>
      </c>
      <c r="L180">
        <v>43.017000000000003</v>
      </c>
      <c r="M180">
        <v>44.65</v>
      </c>
      <c r="N180" t="s">
        <v>121</v>
      </c>
      <c r="O180" t="s">
        <v>27</v>
      </c>
      <c r="P180" t="s">
        <v>28</v>
      </c>
      <c r="Q180">
        <f>VLOOKUP(B180,Tabelle2!C:S,17,0)</f>
        <v>0</v>
      </c>
    </row>
    <row r="181" spans="1:17" x14ac:dyDescent="0.3">
      <c r="A181" t="s">
        <v>112</v>
      </c>
      <c r="B181" t="s">
        <v>805</v>
      </c>
      <c r="C181" t="s">
        <v>806</v>
      </c>
      <c r="D181" t="s">
        <v>806</v>
      </c>
      <c r="E181" t="s">
        <v>807</v>
      </c>
      <c r="F181" t="s">
        <v>803</v>
      </c>
      <c r="G181" t="s">
        <v>37</v>
      </c>
      <c r="H181" t="s">
        <v>127</v>
      </c>
      <c r="I181" t="s">
        <v>804</v>
      </c>
      <c r="J181" t="s">
        <v>146</v>
      </c>
      <c r="K181" t="s">
        <v>32</v>
      </c>
      <c r="L181">
        <v>43.017000000000003</v>
      </c>
      <c r="M181">
        <v>44.65</v>
      </c>
      <c r="N181" t="s">
        <v>121</v>
      </c>
      <c r="O181" t="s">
        <v>27</v>
      </c>
      <c r="P181" t="s">
        <v>28</v>
      </c>
      <c r="Q181">
        <f>VLOOKUP(B181,Tabelle2!C:S,17,0)</f>
        <v>0</v>
      </c>
    </row>
    <row r="182" spans="1:17" x14ac:dyDescent="0.3">
      <c r="A182" t="s">
        <v>112</v>
      </c>
      <c r="B182" t="s">
        <v>808</v>
      </c>
      <c r="C182" t="s">
        <v>809</v>
      </c>
      <c r="D182" t="s">
        <v>809</v>
      </c>
      <c r="E182" t="s">
        <v>810</v>
      </c>
      <c r="F182" t="s">
        <v>811</v>
      </c>
      <c r="G182" t="s">
        <v>37</v>
      </c>
      <c r="H182" t="s">
        <v>812</v>
      </c>
      <c r="I182" t="s">
        <v>50</v>
      </c>
      <c r="J182" t="s">
        <v>51</v>
      </c>
      <c r="K182" t="s">
        <v>32</v>
      </c>
      <c r="L182">
        <v>59</v>
      </c>
      <c r="M182">
        <v>-3</v>
      </c>
      <c r="N182" t="s">
        <v>26</v>
      </c>
      <c r="O182" t="s">
        <v>27</v>
      </c>
      <c r="P182" t="s">
        <v>28</v>
      </c>
      <c r="Q182">
        <f>VLOOKUP(B182,Tabelle2!C:S,17,0)</f>
        <v>0</v>
      </c>
    </row>
    <row r="183" spans="1:17" x14ac:dyDescent="0.3">
      <c r="A183" t="s">
        <v>112</v>
      </c>
      <c r="B183" t="s">
        <v>813</v>
      </c>
      <c r="C183" t="s">
        <v>814</v>
      </c>
      <c r="D183" t="s">
        <v>814</v>
      </c>
      <c r="E183" t="s">
        <v>815</v>
      </c>
      <c r="F183" t="s">
        <v>811</v>
      </c>
      <c r="G183" t="s">
        <v>37</v>
      </c>
      <c r="H183" t="s">
        <v>812</v>
      </c>
      <c r="I183" t="s">
        <v>50</v>
      </c>
      <c r="J183" t="s">
        <v>51</v>
      </c>
      <c r="K183" t="s">
        <v>120</v>
      </c>
      <c r="L183">
        <v>59</v>
      </c>
      <c r="M183">
        <v>-3</v>
      </c>
      <c r="N183" t="s">
        <v>26</v>
      </c>
      <c r="O183" t="s">
        <v>27</v>
      </c>
      <c r="P183" t="s">
        <v>28</v>
      </c>
      <c r="Q183">
        <f>VLOOKUP(B183,Tabelle2!C:S,17,0)</f>
        <v>0</v>
      </c>
    </row>
    <row r="184" spans="1:17" x14ac:dyDescent="0.3">
      <c r="A184" t="s">
        <v>112</v>
      </c>
      <c r="B184" t="s">
        <v>816</v>
      </c>
      <c r="C184" t="s">
        <v>817</v>
      </c>
      <c r="D184" t="s">
        <v>817</v>
      </c>
      <c r="E184" t="s">
        <v>818</v>
      </c>
      <c r="F184" t="s">
        <v>819</v>
      </c>
      <c r="G184" t="s">
        <v>48</v>
      </c>
      <c r="H184" t="s">
        <v>49</v>
      </c>
      <c r="I184" t="s">
        <v>50</v>
      </c>
      <c r="J184" t="s">
        <v>51</v>
      </c>
      <c r="K184" t="s">
        <v>32</v>
      </c>
      <c r="L184">
        <v>50.4</v>
      </c>
      <c r="M184">
        <v>126.5</v>
      </c>
      <c r="N184" t="s">
        <v>26</v>
      </c>
      <c r="O184" t="s">
        <v>27</v>
      </c>
      <c r="P184" t="s">
        <v>28</v>
      </c>
      <c r="Q184">
        <f>VLOOKUP(B184,Tabelle2!C:S,17,0)</f>
        <v>0</v>
      </c>
    </row>
    <row r="185" spans="1:17" x14ac:dyDescent="0.3">
      <c r="A185" t="s">
        <v>112</v>
      </c>
      <c r="B185" t="s">
        <v>820</v>
      </c>
      <c r="C185" t="s">
        <v>821</v>
      </c>
      <c r="D185" t="s">
        <v>821</v>
      </c>
      <c r="E185" t="s">
        <v>822</v>
      </c>
      <c r="F185" t="s">
        <v>819</v>
      </c>
      <c r="G185" t="s">
        <v>48</v>
      </c>
      <c r="H185" t="s">
        <v>49</v>
      </c>
      <c r="I185" t="s">
        <v>50</v>
      </c>
      <c r="J185" t="s">
        <v>51</v>
      </c>
      <c r="K185" t="s">
        <v>120</v>
      </c>
      <c r="L185">
        <v>50.4</v>
      </c>
      <c r="M185">
        <v>126.5</v>
      </c>
      <c r="N185" t="s">
        <v>26</v>
      </c>
      <c r="O185" t="s">
        <v>27</v>
      </c>
      <c r="P185" t="s">
        <v>28</v>
      </c>
      <c r="Q185">
        <f>VLOOKUP(B185,Tabelle2!C:S,17,0)</f>
        <v>0</v>
      </c>
    </row>
    <row r="186" spans="1:17" x14ac:dyDescent="0.3">
      <c r="A186" t="s">
        <v>112</v>
      </c>
      <c r="B186" t="s">
        <v>823</v>
      </c>
      <c r="C186" t="s">
        <v>824</v>
      </c>
      <c r="D186" t="s">
        <v>824</v>
      </c>
      <c r="E186" t="s">
        <v>825</v>
      </c>
      <c r="F186" t="s">
        <v>826</v>
      </c>
      <c r="G186" t="s">
        <v>176</v>
      </c>
      <c r="H186" t="s">
        <v>225</v>
      </c>
      <c r="I186" t="s">
        <v>50</v>
      </c>
      <c r="J186" t="s">
        <v>51</v>
      </c>
      <c r="K186" t="s">
        <v>32</v>
      </c>
      <c r="L186">
        <v>33.5</v>
      </c>
      <c r="M186">
        <v>70.5</v>
      </c>
      <c r="N186" t="s">
        <v>26</v>
      </c>
      <c r="O186" t="s">
        <v>27</v>
      </c>
      <c r="P186" t="s">
        <v>28</v>
      </c>
      <c r="Q186">
        <f>VLOOKUP(B186,Tabelle2!C:S,17,0)</f>
        <v>0</v>
      </c>
    </row>
    <row r="187" spans="1:17" x14ac:dyDescent="0.3">
      <c r="A187" t="s">
        <v>112</v>
      </c>
      <c r="B187" t="s">
        <v>827</v>
      </c>
      <c r="C187" t="s">
        <v>828</v>
      </c>
      <c r="D187" t="s">
        <v>828</v>
      </c>
      <c r="E187" t="s">
        <v>829</v>
      </c>
      <c r="F187" t="s">
        <v>826</v>
      </c>
      <c r="G187" t="s">
        <v>176</v>
      </c>
      <c r="H187" t="s">
        <v>225</v>
      </c>
      <c r="I187" t="s">
        <v>50</v>
      </c>
      <c r="J187" t="s">
        <v>51</v>
      </c>
      <c r="K187" t="s">
        <v>120</v>
      </c>
      <c r="L187">
        <v>33.5</v>
      </c>
      <c r="M187">
        <v>70.5</v>
      </c>
      <c r="N187" t="s">
        <v>26</v>
      </c>
      <c r="O187" t="s">
        <v>27</v>
      </c>
      <c r="P187" t="s">
        <v>28</v>
      </c>
      <c r="Q187">
        <f>VLOOKUP(B187,Tabelle2!C:S,17,0)</f>
        <v>0</v>
      </c>
    </row>
    <row r="188" spans="1:17" x14ac:dyDescent="0.3">
      <c r="A188" t="s">
        <v>112</v>
      </c>
      <c r="B188" t="s">
        <v>830</v>
      </c>
      <c r="C188" t="s">
        <v>831</v>
      </c>
      <c r="D188" t="s">
        <v>831</v>
      </c>
      <c r="E188" t="s">
        <v>832</v>
      </c>
      <c r="F188" t="s">
        <v>833</v>
      </c>
      <c r="G188" t="s">
        <v>79</v>
      </c>
      <c r="H188" t="s">
        <v>834</v>
      </c>
      <c r="I188" t="s">
        <v>50</v>
      </c>
      <c r="J188" t="s">
        <v>51</v>
      </c>
      <c r="K188" t="s">
        <v>120</v>
      </c>
      <c r="L188">
        <v>3</v>
      </c>
      <c r="M188">
        <v>-68</v>
      </c>
      <c r="N188" t="s">
        <v>26</v>
      </c>
      <c r="O188" t="s">
        <v>27</v>
      </c>
      <c r="P188" t="s">
        <v>28</v>
      </c>
      <c r="Q188">
        <f>VLOOKUP(B188,Tabelle2!C:S,17,0)</f>
        <v>0</v>
      </c>
    </row>
    <row r="189" spans="1:17" x14ac:dyDescent="0.3">
      <c r="A189" t="s">
        <v>112</v>
      </c>
      <c r="B189" t="s">
        <v>835</v>
      </c>
      <c r="C189" t="s">
        <v>836</v>
      </c>
      <c r="D189" t="s">
        <v>836</v>
      </c>
      <c r="E189" t="s">
        <v>837</v>
      </c>
      <c r="F189" t="s">
        <v>833</v>
      </c>
      <c r="G189" t="s">
        <v>79</v>
      </c>
      <c r="H189" t="s">
        <v>834</v>
      </c>
      <c r="I189" t="s">
        <v>50</v>
      </c>
      <c r="J189" t="s">
        <v>51</v>
      </c>
      <c r="K189" t="s">
        <v>120</v>
      </c>
      <c r="L189">
        <v>3</v>
      </c>
      <c r="M189">
        <v>-68</v>
      </c>
      <c r="N189" t="s">
        <v>26</v>
      </c>
      <c r="O189" t="s">
        <v>27</v>
      </c>
      <c r="P189" t="s">
        <v>28</v>
      </c>
      <c r="Q189">
        <f>VLOOKUP(B189,Tabelle2!C:S,17,0)</f>
        <v>0</v>
      </c>
    </row>
    <row r="190" spans="1:17" x14ac:dyDescent="0.3">
      <c r="A190" t="s">
        <v>112</v>
      </c>
      <c r="B190" t="s">
        <v>838</v>
      </c>
      <c r="C190" t="s">
        <v>839</v>
      </c>
      <c r="D190" t="s">
        <v>839</v>
      </c>
      <c r="E190" t="s">
        <v>840</v>
      </c>
      <c r="F190" t="s">
        <v>841</v>
      </c>
      <c r="G190" t="s">
        <v>176</v>
      </c>
      <c r="H190" t="s">
        <v>177</v>
      </c>
      <c r="I190" t="s">
        <v>403</v>
      </c>
      <c r="J190" t="s">
        <v>178</v>
      </c>
      <c r="K190" t="s">
        <v>32</v>
      </c>
      <c r="L190">
        <v>17.7</v>
      </c>
      <c r="M190">
        <v>83.3</v>
      </c>
      <c r="N190" t="s">
        <v>121</v>
      </c>
      <c r="O190" t="s">
        <v>27</v>
      </c>
      <c r="P190" t="s">
        <v>28</v>
      </c>
      <c r="Q190">
        <f>VLOOKUP(B190,Tabelle2!C:S,17,0)</f>
        <v>0</v>
      </c>
    </row>
    <row r="191" spans="1:17" x14ac:dyDescent="0.3">
      <c r="A191" t="s">
        <v>112</v>
      </c>
      <c r="B191" t="s">
        <v>842</v>
      </c>
      <c r="C191" t="s">
        <v>843</v>
      </c>
      <c r="D191" t="s">
        <v>843</v>
      </c>
      <c r="E191" t="s">
        <v>844</v>
      </c>
      <c r="F191" t="s">
        <v>841</v>
      </c>
      <c r="G191" t="s">
        <v>176</v>
      </c>
      <c r="H191" t="s">
        <v>177</v>
      </c>
      <c r="I191" t="s">
        <v>403</v>
      </c>
      <c r="J191" t="s">
        <v>178</v>
      </c>
      <c r="K191" t="s">
        <v>32</v>
      </c>
      <c r="L191">
        <v>17.7</v>
      </c>
      <c r="M191">
        <v>83.3</v>
      </c>
      <c r="N191" t="s">
        <v>121</v>
      </c>
      <c r="O191" t="s">
        <v>27</v>
      </c>
      <c r="P191" t="s">
        <v>28</v>
      </c>
      <c r="Q191">
        <f>VLOOKUP(B191,Tabelle2!C:S,17,0)</f>
        <v>0</v>
      </c>
    </row>
    <row r="192" spans="1:17" x14ac:dyDescent="0.3">
      <c r="A192" t="s">
        <v>112</v>
      </c>
      <c r="B192" t="s">
        <v>845</v>
      </c>
      <c r="C192" t="s">
        <v>846</v>
      </c>
      <c r="D192" t="s">
        <v>846</v>
      </c>
      <c r="E192" t="s">
        <v>847</v>
      </c>
      <c r="F192" t="s">
        <v>848</v>
      </c>
      <c r="G192" t="s">
        <v>37</v>
      </c>
      <c r="H192" t="s">
        <v>849</v>
      </c>
      <c r="I192" t="s">
        <v>850</v>
      </c>
      <c r="J192" t="s">
        <v>851</v>
      </c>
      <c r="K192" t="s">
        <v>120</v>
      </c>
      <c r="L192">
        <v>69.900000000000006</v>
      </c>
      <c r="M192">
        <v>27</v>
      </c>
      <c r="N192" t="s">
        <v>60</v>
      </c>
      <c r="O192" t="s">
        <v>27</v>
      </c>
      <c r="P192" t="s">
        <v>28</v>
      </c>
      <c r="Q192">
        <f>VLOOKUP(B192,Tabelle2!C:S,17,0)</f>
        <v>0</v>
      </c>
    </row>
    <row r="193" spans="1:17" x14ac:dyDescent="0.3">
      <c r="A193" t="s">
        <v>112</v>
      </c>
      <c r="B193" t="s">
        <v>852</v>
      </c>
      <c r="C193" t="s">
        <v>853</v>
      </c>
      <c r="D193" t="s">
        <v>853</v>
      </c>
      <c r="E193" t="s">
        <v>854</v>
      </c>
      <c r="F193" t="s">
        <v>848</v>
      </c>
      <c r="G193" t="s">
        <v>37</v>
      </c>
      <c r="H193" t="s">
        <v>849</v>
      </c>
      <c r="I193" t="s">
        <v>850</v>
      </c>
      <c r="J193" t="s">
        <v>851</v>
      </c>
      <c r="K193" t="s">
        <v>32</v>
      </c>
      <c r="L193">
        <v>69.900000000000006</v>
      </c>
      <c r="M193">
        <v>27</v>
      </c>
      <c r="N193" t="s">
        <v>60</v>
      </c>
      <c r="O193" t="s">
        <v>27</v>
      </c>
      <c r="P193" t="s">
        <v>28</v>
      </c>
      <c r="Q193">
        <f>VLOOKUP(B193,Tabelle2!C:S,17,0)</f>
        <v>0</v>
      </c>
    </row>
    <row r="194" spans="1:17" x14ac:dyDescent="0.3">
      <c r="A194" t="s">
        <v>112</v>
      </c>
      <c r="B194" t="s">
        <v>855</v>
      </c>
      <c r="C194" t="s">
        <v>856</v>
      </c>
      <c r="D194" t="s">
        <v>856</v>
      </c>
      <c r="E194" t="s">
        <v>857</v>
      </c>
      <c r="F194" t="s">
        <v>858</v>
      </c>
      <c r="G194" t="s">
        <v>56</v>
      </c>
      <c r="H194" t="s">
        <v>859</v>
      </c>
      <c r="I194" t="s">
        <v>860</v>
      </c>
      <c r="J194" t="s">
        <v>119</v>
      </c>
      <c r="K194" t="s">
        <v>32</v>
      </c>
      <c r="L194">
        <v>27.3</v>
      </c>
      <c r="M194">
        <v>-8.9</v>
      </c>
      <c r="N194" t="s">
        <v>121</v>
      </c>
      <c r="O194" t="s">
        <v>27</v>
      </c>
      <c r="P194" t="s">
        <v>28</v>
      </c>
      <c r="Q194">
        <f>VLOOKUP(B194,Tabelle2!C:S,17,0)</f>
        <v>0</v>
      </c>
    </row>
    <row r="195" spans="1:17" x14ac:dyDescent="0.3">
      <c r="A195" t="s">
        <v>112</v>
      </c>
      <c r="B195" t="s">
        <v>861</v>
      </c>
      <c r="C195" t="s">
        <v>862</v>
      </c>
      <c r="D195" t="s">
        <v>862</v>
      </c>
      <c r="E195" t="s">
        <v>863</v>
      </c>
      <c r="F195" t="s">
        <v>858</v>
      </c>
      <c r="G195" t="s">
        <v>56</v>
      </c>
      <c r="H195" t="s">
        <v>859</v>
      </c>
      <c r="I195" t="s">
        <v>860</v>
      </c>
      <c r="J195" t="s">
        <v>119</v>
      </c>
      <c r="K195" t="s">
        <v>32</v>
      </c>
      <c r="L195">
        <v>27.3</v>
      </c>
      <c r="M195">
        <v>-8.9</v>
      </c>
      <c r="N195" t="s">
        <v>121</v>
      </c>
      <c r="O195" t="s">
        <v>27</v>
      </c>
      <c r="P195" t="s">
        <v>28</v>
      </c>
      <c r="Q195">
        <f>VLOOKUP(B195,Tabelle2!C:S,17,0)</f>
        <v>0</v>
      </c>
    </row>
    <row r="196" spans="1:17" x14ac:dyDescent="0.3">
      <c r="A196" t="s">
        <v>112</v>
      </c>
      <c r="B196" t="s">
        <v>864</v>
      </c>
      <c r="C196" t="s">
        <v>865</v>
      </c>
      <c r="D196" t="s">
        <v>865</v>
      </c>
      <c r="E196" t="s">
        <v>866</v>
      </c>
      <c r="F196" t="s">
        <v>105</v>
      </c>
      <c r="G196" t="s">
        <v>37</v>
      </c>
      <c r="H196" t="s">
        <v>867</v>
      </c>
      <c r="I196" t="s">
        <v>50</v>
      </c>
      <c r="J196" t="s">
        <v>51</v>
      </c>
      <c r="K196" t="s">
        <v>32</v>
      </c>
      <c r="L196">
        <v>40</v>
      </c>
      <c r="M196">
        <v>9</v>
      </c>
      <c r="N196" t="s">
        <v>26</v>
      </c>
      <c r="O196" t="s">
        <v>27</v>
      </c>
      <c r="P196" t="s">
        <v>28</v>
      </c>
      <c r="Q196">
        <f>VLOOKUP(B196,Tabelle2!C:S,17,0)</f>
        <v>0</v>
      </c>
    </row>
    <row r="197" spans="1:17" x14ac:dyDescent="0.3">
      <c r="A197" t="s">
        <v>112</v>
      </c>
      <c r="B197" t="s">
        <v>868</v>
      </c>
      <c r="C197" t="s">
        <v>869</v>
      </c>
      <c r="D197" t="s">
        <v>869</v>
      </c>
      <c r="E197" t="s">
        <v>870</v>
      </c>
      <c r="F197" t="s">
        <v>105</v>
      </c>
      <c r="G197" t="s">
        <v>37</v>
      </c>
      <c r="H197" t="s">
        <v>867</v>
      </c>
      <c r="I197" t="s">
        <v>50</v>
      </c>
      <c r="J197" t="s">
        <v>51</v>
      </c>
      <c r="K197" t="s">
        <v>120</v>
      </c>
      <c r="L197">
        <v>40</v>
      </c>
      <c r="M197">
        <v>9</v>
      </c>
      <c r="N197" t="s">
        <v>26</v>
      </c>
      <c r="O197" t="s">
        <v>27</v>
      </c>
      <c r="P197" t="s">
        <v>28</v>
      </c>
      <c r="Q197">
        <f>VLOOKUP(B197,Tabelle2!C:S,17,0)</f>
        <v>0</v>
      </c>
    </row>
    <row r="198" spans="1:17" x14ac:dyDescent="0.3">
      <c r="A198" t="s">
        <v>112</v>
      </c>
      <c r="B198" t="s">
        <v>871</v>
      </c>
      <c r="C198" t="s">
        <v>872</v>
      </c>
      <c r="D198" t="s">
        <v>872</v>
      </c>
      <c r="E198" t="s">
        <v>873</v>
      </c>
      <c r="F198" t="s">
        <v>874</v>
      </c>
      <c r="G198" t="s">
        <v>48</v>
      </c>
      <c r="H198" t="s">
        <v>49</v>
      </c>
      <c r="I198" t="s">
        <v>50</v>
      </c>
      <c r="J198" t="s">
        <v>51</v>
      </c>
      <c r="K198" t="s">
        <v>120</v>
      </c>
      <c r="L198">
        <v>27</v>
      </c>
      <c r="M198">
        <v>119</v>
      </c>
      <c r="N198" t="s">
        <v>26</v>
      </c>
      <c r="O198" t="s">
        <v>27</v>
      </c>
      <c r="P198" t="s">
        <v>28</v>
      </c>
      <c r="Q198">
        <f>VLOOKUP(B198,Tabelle2!C:S,17,0)</f>
        <v>0</v>
      </c>
    </row>
    <row r="199" spans="1:17" x14ac:dyDescent="0.3">
      <c r="A199" t="s">
        <v>112</v>
      </c>
      <c r="B199" t="s">
        <v>875</v>
      </c>
      <c r="C199" t="s">
        <v>876</v>
      </c>
      <c r="D199" t="s">
        <v>876</v>
      </c>
      <c r="E199" t="s">
        <v>877</v>
      </c>
      <c r="F199" t="s">
        <v>874</v>
      </c>
      <c r="G199" t="s">
        <v>48</v>
      </c>
      <c r="H199" t="s">
        <v>49</v>
      </c>
      <c r="I199" t="s">
        <v>50</v>
      </c>
      <c r="J199" t="s">
        <v>51</v>
      </c>
      <c r="K199" t="s">
        <v>32</v>
      </c>
      <c r="L199">
        <v>27</v>
      </c>
      <c r="M199">
        <v>119</v>
      </c>
      <c r="N199" t="s">
        <v>26</v>
      </c>
      <c r="O199" t="s">
        <v>27</v>
      </c>
      <c r="P199" t="s">
        <v>28</v>
      </c>
      <c r="Q199">
        <f>VLOOKUP(B199,Tabelle2!C:S,17,0)</f>
        <v>0</v>
      </c>
    </row>
    <row r="200" spans="1:17" x14ac:dyDescent="0.3">
      <c r="A200" t="s">
        <v>112</v>
      </c>
      <c r="B200" t="s">
        <v>878</v>
      </c>
      <c r="C200" t="s">
        <v>879</v>
      </c>
      <c r="D200" t="s">
        <v>879</v>
      </c>
      <c r="E200" t="s">
        <v>880</v>
      </c>
      <c r="F200" t="s">
        <v>881</v>
      </c>
      <c r="G200" t="s">
        <v>176</v>
      </c>
      <c r="H200" t="s">
        <v>225</v>
      </c>
      <c r="I200" t="s">
        <v>50</v>
      </c>
      <c r="J200" t="s">
        <v>51</v>
      </c>
      <c r="K200" t="s">
        <v>32</v>
      </c>
      <c r="L200">
        <v>25.5</v>
      </c>
      <c r="M200">
        <v>69</v>
      </c>
      <c r="N200" t="s">
        <v>26</v>
      </c>
      <c r="O200" t="s">
        <v>27</v>
      </c>
      <c r="P200" t="s">
        <v>28</v>
      </c>
      <c r="Q200">
        <f>VLOOKUP(B200,Tabelle2!C:S,17,0)</f>
        <v>0</v>
      </c>
    </row>
    <row r="201" spans="1:17" x14ac:dyDescent="0.3">
      <c r="A201" t="s">
        <v>112</v>
      </c>
      <c r="B201" t="s">
        <v>882</v>
      </c>
      <c r="C201" t="s">
        <v>883</v>
      </c>
      <c r="D201" t="s">
        <v>883</v>
      </c>
      <c r="E201" t="s">
        <v>884</v>
      </c>
      <c r="F201" t="s">
        <v>881</v>
      </c>
      <c r="G201" t="s">
        <v>176</v>
      </c>
      <c r="H201" t="s">
        <v>225</v>
      </c>
      <c r="I201" t="s">
        <v>50</v>
      </c>
      <c r="J201" t="s">
        <v>51</v>
      </c>
      <c r="K201" t="s">
        <v>120</v>
      </c>
      <c r="L201">
        <v>25.5</v>
      </c>
      <c r="M201">
        <v>69</v>
      </c>
      <c r="N201" t="s">
        <v>26</v>
      </c>
      <c r="O201" t="s">
        <v>27</v>
      </c>
      <c r="P201" t="s">
        <v>28</v>
      </c>
      <c r="Q201">
        <f>VLOOKUP(B201,Tabelle2!C:S,17,0)</f>
        <v>0</v>
      </c>
    </row>
    <row r="202" spans="1:17" x14ac:dyDescent="0.3">
      <c r="A202" t="s">
        <v>112</v>
      </c>
      <c r="B202" t="s">
        <v>885</v>
      </c>
      <c r="C202" t="s">
        <v>886</v>
      </c>
      <c r="D202" t="s">
        <v>886</v>
      </c>
      <c r="E202" t="s">
        <v>887</v>
      </c>
      <c r="F202" t="s">
        <v>888</v>
      </c>
      <c r="G202" t="s">
        <v>37</v>
      </c>
      <c r="H202" t="s">
        <v>889</v>
      </c>
      <c r="I202" t="s">
        <v>890</v>
      </c>
      <c r="J202" t="s">
        <v>300</v>
      </c>
      <c r="K202" t="s">
        <v>32</v>
      </c>
      <c r="L202">
        <v>39.9</v>
      </c>
      <c r="M202">
        <v>-4</v>
      </c>
      <c r="N202" t="s">
        <v>26</v>
      </c>
      <c r="O202" t="s">
        <v>27</v>
      </c>
      <c r="P202" t="s">
        <v>28</v>
      </c>
      <c r="Q202">
        <f>VLOOKUP(B202,Tabelle2!C:S,17,0)</f>
        <v>0</v>
      </c>
    </row>
    <row r="203" spans="1:17" x14ac:dyDescent="0.3">
      <c r="A203" t="s">
        <v>112</v>
      </c>
      <c r="B203" t="s">
        <v>891</v>
      </c>
      <c r="C203" t="s">
        <v>892</v>
      </c>
      <c r="D203" t="s">
        <v>892</v>
      </c>
      <c r="E203" t="s">
        <v>893</v>
      </c>
      <c r="F203" t="s">
        <v>888</v>
      </c>
      <c r="G203" t="s">
        <v>37</v>
      </c>
      <c r="H203" t="s">
        <v>889</v>
      </c>
      <c r="I203" t="s">
        <v>890</v>
      </c>
      <c r="J203" t="s">
        <v>300</v>
      </c>
      <c r="K203" t="s">
        <v>120</v>
      </c>
      <c r="L203">
        <v>39.9</v>
      </c>
      <c r="M203">
        <v>-4</v>
      </c>
      <c r="N203" t="s">
        <v>26</v>
      </c>
      <c r="O203" t="s">
        <v>27</v>
      </c>
      <c r="P203" t="s">
        <v>28</v>
      </c>
      <c r="Q203">
        <f>VLOOKUP(B203,Tabelle2!C:S,17,0)</f>
        <v>0</v>
      </c>
    </row>
    <row r="204" spans="1:17" x14ac:dyDescent="0.3">
      <c r="A204" t="s">
        <v>112</v>
      </c>
      <c r="B204" t="s">
        <v>894</v>
      </c>
      <c r="C204" t="s">
        <v>895</v>
      </c>
      <c r="D204" t="s">
        <v>895</v>
      </c>
      <c r="E204" t="s">
        <v>896</v>
      </c>
      <c r="F204" t="s">
        <v>897</v>
      </c>
      <c r="G204" t="s">
        <v>79</v>
      </c>
      <c r="H204" t="s">
        <v>80</v>
      </c>
      <c r="I204" t="s">
        <v>50</v>
      </c>
      <c r="J204" t="s">
        <v>51</v>
      </c>
      <c r="K204" t="s">
        <v>120</v>
      </c>
      <c r="L204">
        <v>-11</v>
      </c>
      <c r="M204">
        <v>-62</v>
      </c>
      <c r="N204" t="s">
        <v>26</v>
      </c>
      <c r="O204" t="s">
        <v>27</v>
      </c>
      <c r="P204" t="s">
        <v>28</v>
      </c>
      <c r="Q204">
        <f>VLOOKUP(B204,Tabelle2!C:S,17,0)</f>
        <v>0</v>
      </c>
    </row>
    <row r="205" spans="1:17" x14ac:dyDescent="0.3">
      <c r="A205" t="s">
        <v>112</v>
      </c>
      <c r="B205" t="s">
        <v>898</v>
      </c>
      <c r="C205" t="s">
        <v>899</v>
      </c>
      <c r="D205" t="s">
        <v>899</v>
      </c>
      <c r="E205" t="s">
        <v>900</v>
      </c>
      <c r="F205" t="s">
        <v>897</v>
      </c>
      <c r="G205" t="s">
        <v>79</v>
      </c>
      <c r="H205" t="s">
        <v>80</v>
      </c>
      <c r="I205" t="s">
        <v>50</v>
      </c>
      <c r="J205" t="s">
        <v>51</v>
      </c>
      <c r="K205" t="s">
        <v>120</v>
      </c>
      <c r="L205">
        <v>-11</v>
      </c>
      <c r="M205">
        <v>-62</v>
      </c>
      <c r="N205" t="s">
        <v>26</v>
      </c>
      <c r="O205" t="s">
        <v>27</v>
      </c>
      <c r="P205" t="s">
        <v>28</v>
      </c>
      <c r="Q205">
        <f>VLOOKUP(B205,Tabelle2!C:S,17,0)</f>
        <v>0</v>
      </c>
    </row>
    <row r="206" spans="1:17" x14ac:dyDescent="0.3">
      <c r="A206" t="s">
        <v>112</v>
      </c>
      <c r="B206" t="s">
        <v>901</v>
      </c>
      <c r="C206" t="s">
        <v>902</v>
      </c>
      <c r="D206" t="s">
        <v>902</v>
      </c>
      <c r="E206" t="s">
        <v>903</v>
      </c>
      <c r="F206" t="s">
        <v>904</v>
      </c>
      <c r="G206" t="s">
        <v>37</v>
      </c>
      <c r="H206" t="s">
        <v>905</v>
      </c>
      <c r="I206" t="s">
        <v>906</v>
      </c>
      <c r="J206" t="s">
        <v>907</v>
      </c>
      <c r="K206" t="s">
        <v>32</v>
      </c>
      <c r="L206">
        <v>37.508000000000003</v>
      </c>
      <c r="M206">
        <v>71.567999999999998</v>
      </c>
      <c r="N206" t="s">
        <v>121</v>
      </c>
      <c r="O206" t="s">
        <v>27</v>
      </c>
      <c r="P206" t="s">
        <v>28</v>
      </c>
      <c r="Q206">
        <f>VLOOKUP(B206,Tabelle2!C:S,17,0)</f>
        <v>0</v>
      </c>
    </row>
    <row r="207" spans="1:17" x14ac:dyDescent="0.3">
      <c r="A207" t="s">
        <v>112</v>
      </c>
      <c r="B207" t="s">
        <v>908</v>
      </c>
      <c r="C207" t="s">
        <v>909</v>
      </c>
      <c r="D207" t="s">
        <v>909</v>
      </c>
      <c r="E207" t="s">
        <v>910</v>
      </c>
      <c r="F207" t="s">
        <v>904</v>
      </c>
      <c r="G207" t="s">
        <v>37</v>
      </c>
      <c r="H207" t="s">
        <v>905</v>
      </c>
      <c r="I207" t="s">
        <v>906</v>
      </c>
      <c r="J207" t="s">
        <v>907</v>
      </c>
      <c r="K207" t="s">
        <v>32</v>
      </c>
      <c r="L207">
        <v>37.508000000000003</v>
      </c>
      <c r="M207">
        <v>71.567999999999998</v>
      </c>
      <c r="N207" t="s">
        <v>121</v>
      </c>
      <c r="O207" t="s">
        <v>27</v>
      </c>
      <c r="P207" t="s">
        <v>28</v>
      </c>
      <c r="Q207">
        <f>VLOOKUP(B207,Tabelle2!C:S,17,0)</f>
        <v>0</v>
      </c>
    </row>
    <row r="208" spans="1:17" x14ac:dyDescent="0.3">
      <c r="A208" t="s">
        <v>112</v>
      </c>
      <c r="B208" t="s">
        <v>911</v>
      </c>
      <c r="C208" t="s">
        <v>912</v>
      </c>
      <c r="D208" t="s">
        <v>912</v>
      </c>
      <c r="E208" t="s">
        <v>913</v>
      </c>
      <c r="F208" t="s">
        <v>914</v>
      </c>
      <c r="G208" t="s">
        <v>48</v>
      </c>
      <c r="H208" t="s">
        <v>915</v>
      </c>
      <c r="I208" t="s">
        <v>23</v>
      </c>
      <c r="J208" t="s">
        <v>24</v>
      </c>
      <c r="K208" t="s">
        <v>32</v>
      </c>
      <c r="L208">
        <v>13.8</v>
      </c>
      <c r="M208">
        <v>100.5</v>
      </c>
      <c r="N208" t="s">
        <v>26</v>
      </c>
      <c r="O208" t="s">
        <v>27</v>
      </c>
      <c r="P208" t="s">
        <v>28</v>
      </c>
      <c r="Q208">
        <f>VLOOKUP(B208,Tabelle2!C:S,17,0)</f>
        <v>0</v>
      </c>
    </row>
    <row r="209" spans="1:17" x14ac:dyDescent="0.3">
      <c r="A209" t="s">
        <v>112</v>
      </c>
      <c r="B209" t="s">
        <v>916</v>
      </c>
      <c r="C209" t="s">
        <v>917</v>
      </c>
      <c r="D209" t="s">
        <v>917</v>
      </c>
      <c r="E209" t="s">
        <v>918</v>
      </c>
      <c r="F209" t="s">
        <v>914</v>
      </c>
      <c r="G209" t="s">
        <v>48</v>
      </c>
      <c r="H209" t="s">
        <v>915</v>
      </c>
      <c r="I209" t="s">
        <v>23</v>
      </c>
      <c r="J209" t="s">
        <v>24</v>
      </c>
      <c r="K209" t="s">
        <v>120</v>
      </c>
      <c r="L209">
        <v>13.8</v>
      </c>
      <c r="M209">
        <v>100.5</v>
      </c>
      <c r="N209" t="s">
        <v>26</v>
      </c>
      <c r="O209" t="s">
        <v>27</v>
      </c>
      <c r="P209" t="s">
        <v>28</v>
      </c>
      <c r="Q209">
        <f>VLOOKUP(B209,Tabelle2!C:S,17,0)</f>
        <v>0</v>
      </c>
    </row>
    <row r="210" spans="1:17" x14ac:dyDescent="0.3">
      <c r="A210" t="s">
        <v>112</v>
      </c>
      <c r="B210" t="s">
        <v>919</v>
      </c>
      <c r="C210" t="s">
        <v>920</v>
      </c>
      <c r="D210" t="s">
        <v>920</v>
      </c>
      <c r="E210" t="s">
        <v>921</v>
      </c>
      <c r="F210" t="s">
        <v>922</v>
      </c>
      <c r="G210" t="s">
        <v>126</v>
      </c>
      <c r="H210" t="s">
        <v>127</v>
      </c>
      <c r="I210" t="s">
        <v>923</v>
      </c>
      <c r="Q210">
        <f>VLOOKUP(B210,Tabelle2!C:S,17,0)</f>
        <v>0</v>
      </c>
    </row>
    <row r="211" spans="1:17" x14ac:dyDescent="0.3">
      <c r="A211" t="s">
        <v>112</v>
      </c>
      <c r="B211" t="s">
        <v>924</v>
      </c>
      <c r="C211" t="s">
        <v>925</v>
      </c>
      <c r="D211" t="s">
        <v>925</v>
      </c>
      <c r="E211" t="s">
        <v>926</v>
      </c>
      <c r="F211" t="s">
        <v>922</v>
      </c>
      <c r="G211" t="s">
        <v>126</v>
      </c>
      <c r="H211" t="s">
        <v>127</v>
      </c>
      <c r="I211" t="s">
        <v>327</v>
      </c>
      <c r="Q211">
        <f>VLOOKUP(B211,Tabelle2!C:S,17,0)</f>
        <v>0</v>
      </c>
    </row>
    <row r="212" spans="1:17" x14ac:dyDescent="0.3">
      <c r="A212" t="s">
        <v>112</v>
      </c>
      <c r="B212" t="s">
        <v>927</v>
      </c>
      <c r="C212" t="s">
        <v>928</v>
      </c>
      <c r="D212" t="s">
        <v>928</v>
      </c>
      <c r="E212" t="s">
        <v>929</v>
      </c>
      <c r="F212" t="s">
        <v>930</v>
      </c>
      <c r="G212" t="s">
        <v>48</v>
      </c>
      <c r="H212" t="s">
        <v>49</v>
      </c>
      <c r="I212" t="s">
        <v>50</v>
      </c>
      <c r="J212" t="s">
        <v>51</v>
      </c>
      <c r="K212" t="s">
        <v>32</v>
      </c>
      <c r="L212">
        <v>36</v>
      </c>
      <c r="M212">
        <v>101</v>
      </c>
      <c r="N212" t="s">
        <v>26</v>
      </c>
      <c r="O212" t="s">
        <v>27</v>
      </c>
      <c r="P212" t="s">
        <v>28</v>
      </c>
      <c r="Q212">
        <f>VLOOKUP(B212,Tabelle2!C:S,17,0)</f>
        <v>0</v>
      </c>
    </row>
    <row r="213" spans="1:17" x14ac:dyDescent="0.3">
      <c r="A213" t="s">
        <v>112</v>
      </c>
      <c r="B213" t="s">
        <v>931</v>
      </c>
      <c r="C213" t="s">
        <v>932</v>
      </c>
      <c r="D213" t="s">
        <v>932</v>
      </c>
      <c r="E213" t="s">
        <v>933</v>
      </c>
      <c r="F213" t="s">
        <v>930</v>
      </c>
      <c r="G213" t="s">
        <v>48</v>
      </c>
      <c r="H213" t="s">
        <v>49</v>
      </c>
      <c r="I213" t="s">
        <v>50</v>
      </c>
      <c r="J213" t="s">
        <v>51</v>
      </c>
      <c r="K213" t="s">
        <v>120</v>
      </c>
      <c r="L213">
        <v>36</v>
      </c>
      <c r="M213">
        <v>101</v>
      </c>
      <c r="N213" t="s">
        <v>26</v>
      </c>
      <c r="O213" t="s">
        <v>27</v>
      </c>
      <c r="P213" t="s">
        <v>28</v>
      </c>
      <c r="Q213">
        <f>VLOOKUP(B213,Tabelle2!C:S,17,0)</f>
        <v>0</v>
      </c>
    </row>
    <row r="214" spans="1:17" x14ac:dyDescent="0.3">
      <c r="A214" t="s">
        <v>112</v>
      </c>
      <c r="B214" t="s">
        <v>934</v>
      </c>
      <c r="C214" t="s">
        <v>935</v>
      </c>
      <c r="D214" t="s">
        <v>935</v>
      </c>
      <c r="E214" t="s">
        <v>936</v>
      </c>
      <c r="F214" t="s">
        <v>937</v>
      </c>
      <c r="G214" t="s">
        <v>126</v>
      </c>
      <c r="H214" t="s">
        <v>127</v>
      </c>
      <c r="I214" t="s">
        <v>938</v>
      </c>
      <c r="Q214">
        <f>VLOOKUP(B214,Tabelle2!C:S,17,0)</f>
        <v>0</v>
      </c>
    </row>
    <row r="215" spans="1:17" x14ac:dyDescent="0.3">
      <c r="A215" t="s">
        <v>112</v>
      </c>
      <c r="B215" t="s">
        <v>939</v>
      </c>
      <c r="C215" t="s">
        <v>940</v>
      </c>
      <c r="D215" t="s">
        <v>940</v>
      </c>
      <c r="E215" t="s">
        <v>941</v>
      </c>
      <c r="F215" t="s">
        <v>937</v>
      </c>
      <c r="G215" t="s">
        <v>126</v>
      </c>
      <c r="H215" t="s">
        <v>127</v>
      </c>
      <c r="I215" t="s">
        <v>938</v>
      </c>
      <c r="Q215">
        <f>VLOOKUP(B215,Tabelle2!C:S,17,0)</f>
        <v>0</v>
      </c>
    </row>
    <row r="216" spans="1:17" x14ac:dyDescent="0.3">
      <c r="A216" t="s">
        <v>112</v>
      </c>
      <c r="B216" t="s">
        <v>942</v>
      </c>
      <c r="C216" t="s">
        <v>943</v>
      </c>
      <c r="D216" t="s">
        <v>943</v>
      </c>
      <c r="E216" t="s">
        <v>944</v>
      </c>
      <c r="F216" t="s">
        <v>945</v>
      </c>
      <c r="G216" t="s">
        <v>48</v>
      </c>
      <c r="H216" t="s">
        <v>49</v>
      </c>
      <c r="I216" t="s">
        <v>50</v>
      </c>
      <c r="J216" t="s">
        <v>51</v>
      </c>
      <c r="K216" t="s">
        <v>32</v>
      </c>
      <c r="L216">
        <v>29</v>
      </c>
      <c r="M216">
        <v>109</v>
      </c>
      <c r="N216" t="s">
        <v>26</v>
      </c>
      <c r="O216" t="s">
        <v>27</v>
      </c>
      <c r="P216" t="s">
        <v>28</v>
      </c>
      <c r="Q216">
        <f>VLOOKUP(B216,Tabelle2!C:S,17,0)</f>
        <v>0</v>
      </c>
    </row>
    <row r="217" spans="1:17" x14ac:dyDescent="0.3">
      <c r="A217" t="s">
        <v>112</v>
      </c>
      <c r="B217" t="s">
        <v>946</v>
      </c>
      <c r="C217" t="s">
        <v>947</v>
      </c>
      <c r="D217" t="s">
        <v>947</v>
      </c>
      <c r="E217" t="s">
        <v>948</v>
      </c>
      <c r="F217" t="s">
        <v>945</v>
      </c>
      <c r="G217" t="s">
        <v>48</v>
      </c>
      <c r="H217" t="s">
        <v>49</v>
      </c>
      <c r="I217" t="s">
        <v>50</v>
      </c>
      <c r="J217" t="s">
        <v>51</v>
      </c>
      <c r="K217" t="s">
        <v>120</v>
      </c>
      <c r="L217">
        <v>29</v>
      </c>
      <c r="M217">
        <v>109</v>
      </c>
      <c r="N217" t="s">
        <v>26</v>
      </c>
      <c r="O217" t="s">
        <v>27</v>
      </c>
      <c r="P217" t="s">
        <v>28</v>
      </c>
      <c r="Q217">
        <f>VLOOKUP(B217,Tabelle2!C:S,17,0)</f>
        <v>0</v>
      </c>
    </row>
    <row r="218" spans="1:17" x14ac:dyDescent="0.3">
      <c r="A218" t="s">
        <v>112</v>
      </c>
      <c r="B218" t="s">
        <v>949</v>
      </c>
      <c r="C218" t="s">
        <v>950</v>
      </c>
      <c r="D218" t="s">
        <v>950</v>
      </c>
      <c r="E218" t="s">
        <v>951</v>
      </c>
      <c r="F218" t="s">
        <v>952</v>
      </c>
      <c r="G218" t="s">
        <v>37</v>
      </c>
      <c r="H218" t="s">
        <v>953</v>
      </c>
      <c r="I218" t="s">
        <v>954</v>
      </c>
      <c r="J218" t="s">
        <v>684</v>
      </c>
      <c r="K218" t="s">
        <v>32</v>
      </c>
      <c r="L218">
        <v>38.700000000000003</v>
      </c>
      <c r="M218">
        <v>35.5</v>
      </c>
      <c r="N218" t="s">
        <v>121</v>
      </c>
      <c r="O218" t="s">
        <v>27</v>
      </c>
      <c r="P218" t="s">
        <v>28</v>
      </c>
      <c r="Q218">
        <f>VLOOKUP(B218,Tabelle2!C:S,17,0)</f>
        <v>0</v>
      </c>
    </row>
    <row r="219" spans="1:17" x14ac:dyDescent="0.3">
      <c r="A219" t="s">
        <v>112</v>
      </c>
      <c r="B219" t="s">
        <v>955</v>
      </c>
      <c r="C219" t="s">
        <v>956</v>
      </c>
      <c r="D219" t="s">
        <v>956</v>
      </c>
      <c r="E219" t="s">
        <v>957</v>
      </c>
      <c r="F219" t="s">
        <v>952</v>
      </c>
      <c r="G219" t="s">
        <v>37</v>
      </c>
      <c r="H219" t="s">
        <v>953</v>
      </c>
      <c r="I219" t="s">
        <v>954</v>
      </c>
      <c r="J219" t="s">
        <v>684</v>
      </c>
      <c r="K219" t="s">
        <v>120</v>
      </c>
      <c r="L219">
        <v>38.700000000000003</v>
      </c>
      <c r="M219">
        <v>35.5</v>
      </c>
      <c r="N219" t="s">
        <v>121</v>
      </c>
      <c r="O219" t="s">
        <v>27</v>
      </c>
      <c r="P219" t="s">
        <v>28</v>
      </c>
      <c r="Q219">
        <f>VLOOKUP(B219,Tabelle2!C:S,17,0)</f>
        <v>0</v>
      </c>
    </row>
    <row r="220" spans="1:17" x14ac:dyDescent="0.3">
      <c r="A220" t="s">
        <v>112</v>
      </c>
      <c r="B220" t="s">
        <v>958</v>
      </c>
      <c r="C220" t="s">
        <v>959</v>
      </c>
      <c r="D220" t="s">
        <v>959</v>
      </c>
      <c r="E220" t="s">
        <v>960</v>
      </c>
      <c r="F220" t="s">
        <v>961</v>
      </c>
      <c r="G220" t="s">
        <v>37</v>
      </c>
      <c r="H220" t="s">
        <v>962</v>
      </c>
      <c r="I220" t="s">
        <v>50</v>
      </c>
      <c r="J220" t="s">
        <v>51</v>
      </c>
      <c r="K220" t="s">
        <v>120</v>
      </c>
      <c r="L220">
        <v>43</v>
      </c>
      <c r="M220">
        <v>11</v>
      </c>
      <c r="N220" t="s">
        <v>26</v>
      </c>
      <c r="O220" t="s">
        <v>27</v>
      </c>
      <c r="P220" t="s">
        <v>28</v>
      </c>
      <c r="Q220">
        <f>VLOOKUP(B220,Tabelle2!C:S,17,0)</f>
        <v>0</v>
      </c>
    </row>
    <row r="221" spans="1:17" x14ac:dyDescent="0.3">
      <c r="A221" t="s">
        <v>112</v>
      </c>
      <c r="B221" t="s">
        <v>963</v>
      </c>
      <c r="C221" t="s">
        <v>964</v>
      </c>
      <c r="D221" t="s">
        <v>964</v>
      </c>
      <c r="E221" t="s">
        <v>965</v>
      </c>
      <c r="F221" t="s">
        <v>961</v>
      </c>
      <c r="G221" t="s">
        <v>37</v>
      </c>
      <c r="H221" t="s">
        <v>962</v>
      </c>
      <c r="I221" t="s">
        <v>50</v>
      </c>
      <c r="J221" t="s">
        <v>51</v>
      </c>
      <c r="K221" t="s">
        <v>32</v>
      </c>
      <c r="L221">
        <v>43</v>
      </c>
      <c r="M221">
        <v>11</v>
      </c>
      <c r="N221" t="s">
        <v>26</v>
      </c>
      <c r="O221" t="s">
        <v>27</v>
      </c>
      <c r="P221" t="s">
        <v>28</v>
      </c>
      <c r="Q221">
        <f>VLOOKUP(B221,Tabelle2!C:S,17,0)</f>
        <v>0</v>
      </c>
    </row>
    <row r="222" spans="1:17" x14ac:dyDescent="0.3">
      <c r="A222" t="s">
        <v>112</v>
      </c>
      <c r="B222" t="s">
        <v>966</v>
      </c>
      <c r="C222" t="s">
        <v>967</v>
      </c>
      <c r="D222" t="s">
        <v>967</v>
      </c>
      <c r="E222" t="s">
        <v>968</v>
      </c>
      <c r="F222" t="s">
        <v>969</v>
      </c>
      <c r="G222" t="s">
        <v>126</v>
      </c>
      <c r="H222" t="s">
        <v>127</v>
      </c>
      <c r="I222" t="s">
        <v>970</v>
      </c>
      <c r="Q222">
        <f>VLOOKUP(B222,Tabelle2!C:S,17,0)</f>
        <v>0</v>
      </c>
    </row>
    <row r="223" spans="1:17" x14ac:dyDescent="0.3">
      <c r="A223" t="s">
        <v>112</v>
      </c>
      <c r="B223" t="s">
        <v>971</v>
      </c>
      <c r="C223" t="s">
        <v>972</v>
      </c>
      <c r="D223" t="s">
        <v>972</v>
      </c>
      <c r="E223" t="s">
        <v>973</v>
      </c>
      <c r="F223" t="s">
        <v>969</v>
      </c>
      <c r="G223" t="s">
        <v>126</v>
      </c>
      <c r="H223" t="s">
        <v>127</v>
      </c>
      <c r="I223" t="s">
        <v>974</v>
      </c>
      <c r="Q223">
        <f>VLOOKUP(B223,Tabelle2!C:S,17,0)</f>
        <v>0</v>
      </c>
    </row>
    <row r="224" spans="1:17" x14ac:dyDescent="0.3">
      <c r="A224" t="s">
        <v>112</v>
      </c>
      <c r="B224" t="s">
        <v>975</v>
      </c>
      <c r="C224" t="s">
        <v>976</v>
      </c>
      <c r="D224" t="s">
        <v>976</v>
      </c>
      <c r="E224" t="s">
        <v>977</v>
      </c>
      <c r="F224" t="s">
        <v>978</v>
      </c>
      <c r="G224" t="s">
        <v>48</v>
      </c>
      <c r="H224" t="s">
        <v>49</v>
      </c>
      <c r="I224" t="s">
        <v>979</v>
      </c>
      <c r="J224" t="s">
        <v>51</v>
      </c>
      <c r="K224" t="s">
        <v>120</v>
      </c>
      <c r="L224">
        <v>44</v>
      </c>
      <c r="M224">
        <v>81</v>
      </c>
      <c r="N224" t="s">
        <v>26</v>
      </c>
      <c r="O224" t="s">
        <v>27</v>
      </c>
      <c r="P224" t="s">
        <v>28</v>
      </c>
      <c r="Q224">
        <f>VLOOKUP(B224,Tabelle2!C:S,17,0)</f>
        <v>0</v>
      </c>
    </row>
    <row r="225" spans="1:17" x14ac:dyDescent="0.3">
      <c r="A225" t="s">
        <v>112</v>
      </c>
      <c r="B225" t="s">
        <v>980</v>
      </c>
      <c r="C225" t="s">
        <v>981</v>
      </c>
      <c r="D225" t="s">
        <v>981</v>
      </c>
      <c r="E225" t="s">
        <v>982</v>
      </c>
      <c r="F225" t="s">
        <v>978</v>
      </c>
      <c r="G225" t="s">
        <v>48</v>
      </c>
      <c r="H225" t="s">
        <v>49</v>
      </c>
      <c r="I225" t="s">
        <v>979</v>
      </c>
      <c r="J225" t="s">
        <v>51</v>
      </c>
      <c r="K225" t="s">
        <v>32</v>
      </c>
      <c r="L225">
        <v>44</v>
      </c>
      <c r="M225">
        <v>81</v>
      </c>
      <c r="N225" t="s">
        <v>26</v>
      </c>
      <c r="O225" t="s">
        <v>27</v>
      </c>
      <c r="P225" t="s">
        <v>28</v>
      </c>
      <c r="Q225">
        <f>VLOOKUP(B225,Tabelle2!C:S,17,0)</f>
        <v>0</v>
      </c>
    </row>
    <row r="226" spans="1:17" x14ac:dyDescent="0.3">
      <c r="A226" t="s">
        <v>112</v>
      </c>
      <c r="B226" t="s">
        <v>983</v>
      </c>
      <c r="C226" t="s">
        <v>984</v>
      </c>
      <c r="D226" t="s">
        <v>984</v>
      </c>
      <c r="E226" t="s">
        <v>985</v>
      </c>
      <c r="F226" t="s">
        <v>986</v>
      </c>
      <c r="G226" t="s">
        <v>48</v>
      </c>
      <c r="H226" t="s">
        <v>49</v>
      </c>
      <c r="I226" t="s">
        <v>50</v>
      </c>
      <c r="J226" t="s">
        <v>51</v>
      </c>
      <c r="K226" t="s">
        <v>32</v>
      </c>
      <c r="L226">
        <v>43.5</v>
      </c>
      <c r="M226">
        <v>81.5</v>
      </c>
      <c r="N226" t="s">
        <v>26</v>
      </c>
      <c r="O226" t="s">
        <v>27</v>
      </c>
      <c r="P226" t="s">
        <v>28</v>
      </c>
      <c r="Q226">
        <f>VLOOKUP(B226,Tabelle2!C:S,17,0)</f>
        <v>0</v>
      </c>
    </row>
    <row r="227" spans="1:17" x14ac:dyDescent="0.3">
      <c r="A227" t="s">
        <v>112</v>
      </c>
      <c r="B227" t="s">
        <v>987</v>
      </c>
      <c r="C227" t="s">
        <v>988</v>
      </c>
      <c r="D227" t="s">
        <v>988</v>
      </c>
      <c r="E227" t="s">
        <v>989</v>
      </c>
      <c r="F227" t="s">
        <v>986</v>
      </c>
      <c r="G227" t="s">
        <v>48</v>
      </c>
      <c r="H227" t="s">
        <v>49</v>
      </c>
      <c r="I227" t="s">
        <v>50</v>
      </c>
      <c r="J227" t="s">
        <v>51</v>
      </c>
      <c r="K227" t="s">
        <v>32</v>
      </c>
      <c r="L227">
        <v>43.5</v>
      </c>
      <c r="M227">
        <v>81.5</v>
      </c>
      <c r="N227" t="s">
        <v>26</v>
      </c>
      <c r="O227" t="s">
        <v>27</v>
      </c>
      <c r="P227" t="s">
        <v>28</v>
      </c>
      <c r="Q227">
        <f>VLOOKUP(B227,Tabelle2!C:S,17,0)</f>
        <v>0</v>
      </c>
    </row>
    <row r="228" spans="1:17" x14ac:dyDescent="0.3">
      <c r="A228" t="s">
        <v>112</v>
      </c>
      <c r="B228" t="s">
        <v>990</v>
      </c>
      <c r="C228" t="s">
        <v>991</v>
      </c>
      <c r="D228" t="s">
        <v>991</v>
      </c>
      <c r="E228" t="s">
        <v>992</v>
      </c>
      <c r="F228" t="s">
        <v>993</v>
      </c>
      <c r="G228" t="s">
        <v>176</v>
      </c>
      <c r="H228" t="s">
        <v>177</v>
      </c>
      <c r="I228" t="s">
        <v>403</v>
      </c>
      <c r="J228" t="s">
        <v>178</v>
      </c>
      <c r="K228" t="s">
        <v>32</v>
      </c>
      <c r="L228">
        <v>17.7</v>
      </c>
      <c r="M228">
        <v>83.3</v>
      </c>
      <c r="N228" t="s">
        <v>121</v>
      </c>
      <c r="O228" t="s">
        <v>27</v>
      </c>
      <c r="P228" t="s">
        <v>28</v>
      </c>
      <c r="Q228">
        <f>VLOOKUP(B228,Tabelle2!C:S,17,0)</f>
        <v>0</v>
      </c>
    </row>
    <row r="229" spans="1:17" x14ac:dyDescent="0.3">
      <c r="A229" t="s">
        <v>112</v>
      </c>
      <c r="B229" t="s">
        <v>994</v>
      </c>
      <c r="C229" t="s">
        <v>995</v>
      </c>
      <c r="D229" t="s">
        <v>995</v>
      </c>
      <c r="E229" t="s">
        <v>996</v>
      </c>
      <c r="F229" t="s">
        <v>993</v>
      </c>
      <c r="G229" t="s">
        <v>176</v>
      </c>
      <c r="H229" t="s">
        <v>177</v>
      </c>
      <c r="I229" t="s">
        <v>403</v>
      </c>
      <c r="J229" t="s">
        <v>178</v>
      </c>
      <c r="K229" t="s">
        <v>32</v>
      </c>
      <c r="L229">
        <v>17.7</v>
      </c>
      <c r="M229">
        <v>83.3</v>
      </c>
      <c r="N229" t="s">
        <v>121</v>
      </c>
      <c r="O229" t="s">
        <v>27</v>
      </c>
      <c r="P229" t="s">
        <v>28</v>
      </c>
      <c r="Q229">
        <f>VLOOKUP(B229,Tabelle2!C:S,17,0)</f>
        <v>0</v>
      </c>
    </row>
    <row r="230" spans="1:17" x14ac:dyDescent="0.3">
      <c r="A230" t="s">
        <v>112</v>
      </c>
      <c r="B230" t="s">
        <v>997</v>
      </c>
      <c r="C230" t="s">
        <v>998</v>
      </c>
      <c r="D230" t="s">
        <v>998</v>
      </c>
      <c r="E230" t="s">
        <v>999</v>
      </c>
      <c r="F230" t="s">
        <v>1000</v>
      </c>
      <c r="G230" t="s">
        <v>126</v>
      </c>
      <c r="H230" t="s">
        <v>127</v>
      </c>
      <c r="I230" t="s">
        <v>50</v>
      </c>
      <c r="J230" t="s">
        <v>51</v>
      </c>
      <c r="K230" t="s">
        <v>120</v>
      </c>
      <c r="L230">
        <v>63</v>
      </c>
      <c r="M230">
        <v>129.5</v>
      </c>
      <c r="N230" t="s">
        <v>26</v>
      </c>
      <c r="O230" t="s">
        <v>27</v>
      </c>
      <c r="P230" t="s">
        <v>28</v>
      </c>
      <c r="Q230">
        <f>VLOOKUP(B230,Tabelle2!C:S,17,0)</f>
        <v>0</v>
      </c>
    </row>
    <row r="231" spans="1:17" x14ac:dyDescent="0.3">
      <c r="A231" t="s">
        <v>112</v>
      </c>
      <c r="B231" t="s">
        <v>1001</v>
      </c>
      <c r="C231" t="s">
        <v>1002</v>
      </c>
      <c r="D231" t="s">
        <v>1002</v>
      </c>
      <c r="E231" t="s">
        <v>1003</v>
      </c>
      <c r="F231" t="s">
        <v>1000</v>
      </c>
      <c r="G231" t="s">
        <v>126</v>
      </c>
      <c r="H231" t="s">
        <v>127</v>
      </c>
      <c r="I231" t="s">
        <v>50</v>
      </c>
      <c r="J231" t="s">
        <v>51</v>
      </c>
      <c r="K231" t="s">
        <v>32</v>
      </c>
      <c r="L231">
        <v>63</v>
      </c>
      <c r="M231">
        <v>129.5</v>
      </c>
      <c r="N231" t="s">
        <v>26</v>
      </c>
      <c r="O231" t="s">
        <v>27</v>
      </c>
      <c r="P231" t="s">
        <v>28</v>
      </c>
      <c r="Q231">
        <f>VLOOKUP(B231,Tabelle2!C:S,17,0)</f>
        <v>0</v>
      </c>
    </row>
    <row r="232" spans="1:17" x14ac:dyDescent="0.3">
      <c r="A232" t="s">
        <v>112</v>
      </c>
      <c r="B232" t="s">
        <v>1004</v>
      </c>
      <c r="C232" t="s">
        <v>1005</v>
      </c>
      <c r="D232" t="s">
        <v>1005</v>
      </c>
      <c r="E232" t="s">
        <v>1006</v>
      </c>
      <c r="F232" t="s">
        <v>1007</v>
      </c>
      <c r="G232" t="s">
        <v>37</v>
      </c>
      <c r="H232" t="s">
        <v>1008</v>
      </c>
      <c r="I232" t="s">
        <v>607</v>
      </c>
      <c r="J232" t="s">
        <v>608</v>
      </c>
      <c r="K232" t="s">
        <v>120</v>
      </c>
      <c r="L232">
        <v>15.4</v>
      </c>
      <c r="M232">
        <v>44.2</v>
      </c>
      <c r="N232" t="s">
        <v>26</v>
      </c>
      <c r="O232" t="s">
        <v>27</v>
      </c>
      <c r="P232" t="s">
        <v>28</v>
      </c>
      <c r="Q232">
        <f>VLOOKUP(B232,Tabelle2!C:S,17,0)</f>
        <v>0</v>
      </c>
    </row>
    <row r="233" spans="1:17" x14ac:dyDescent="0.3">
      <c r="A233" t="s">
        <v>112</v>
      </c>
      <c r="B233" t="s">
        <v>1009</v>
      </c>
      <c r="C233" t="s">
        <v>1010</v>
      </c>
      <c r="D233" t="s">
        <v>1010</v>
      </c>
      <c r="E233" t="s">
        <v>1011</v>
      </c>
      <c r="F233" t="s">
        <v>1007</v>
      </c>
      <c r="G233" t="s">
        <v>37</v>
      </c>
      <c r="H233" t="s">
        <v>1008</v>
      </c>
      <c r="I233" t="s">
        <v>607</v>
      </c>
      <c r="J233" t="s">
        <v>608</v>
      </c>
      <c r="K233" t="s">
        <v>32</v>
      </c>
      <c r="L233">
        <v>15.4</v>
      </c>
      <c r="M233">
        <v>44.2</v>
      </c>
      <c r="N233" t="s">
        <v>26</v>
      </c>
      <c r="O233" t="s">
        <v>27</v>
      </c>
      <c r="P233" t="s">
        <v>28</v>
      </c>
      <c r="Q233">
        <f>VLOOKUP(B233,Tabelle2!C:S,17,0)</f>
        <v>0</v>
      </c>
    </row>
    <row r="234" spans="1:17" x14ac:dyDescent="0.3">
      <c r="A234" t="s">
        <v>112</v>
      </c>
      <c r="B234" t="s">
        <v>1012</v>
      </c>
      <c r="C234" t="s">
        <v>1013</v>
      </c>
      <c r="D234" t="s">
        <v>1013</v>
      </c>
      <c r="E234" t="s">
        <v>1014</v>
      </c>
      <c r="F234" t="s">
        <v>1015</v>
      </c>
      <c r="G234" t="s">
        <v>48</v>
      </c>
      <c r="H234" t="s">
        <v>49</v>
      </c>
      <c r="I234" t="s">
        <v>50</v>
      </c>
      <c r="J234" t="s">
        <v>51</v>
      </c>
      <c r="K234" t="s">
        <v>32</v>
      </c>
      <c r="L234">
        <v>28</v>
      </c>
      <c r="M234">
        <v>103</v>
      </c>
      <c r="N234" t="s">
        <v>26</v>
      </c>
      <c r="O234" t="s">
        <v>27</v>
      </c>
      <c r="P234" t="s">
        <v>28</v>
      </c>
      <c r="Q234">
        <f>VLOOKUP(B234,Tabelle2!C:S,17,0)</f>
        <v>0</v>
      </c>
    </row>
    <row r="235" spans="1:17" x14ac:dyDescent="0.3">
      <c r="A235" t="s">
        <v>112</v>
      </c>
      <c r="B235" t="s">
        <v>1016</v>
      </c>
      <c r="C235" t="s">
        <v>1017</v>
      </c>
      <c r="D235" t="s">
        <v>1017</v>
      </c>
      <c r="E235" t="s">
        <v>1018</v>
      </c>
      <c r="F235" t="s">
        <v>1015</v>
      </c>
      <c r="G235" t="s">
        <v>48</v>
      </c>
      <c r="H235" t="s">
        <v>49</v>
      </c>
      <c r="I235" t="s">
        <v>50</v>
      </c>
      <c r="J235" t="s">
        <v>51</v>
      </c>
      <c r="K235" t="s">
        <v>120</v>
      </c>
      <c r="L235">
        <v>28</v>
      </c>
      <c r="M235">
        <v>103</v>
      </c>
      <c r="N235" t="s">
        <v>26</v>
      </c>
      <c r="O235" t="s">
        <v>27</v>
      </c>
      <c r="P235" t="s">
        <v>28</v>
      </c>
      <c r="Q235">
        <f>VLOOKUP(B235,Tabelle2!C:S,17,0)</f>
        <v>0</v>
      </c>
    </row>
    <row r="236" spans="1:17" x14ac:dyDescent="0.3">
      <c r="A236" t="s">
        <v>112</v>
      </c>
      <c r="B236" t="s">
        <v>1019</v>
      </c>
      <c r="C236" t="s">
        <v>1020</v>
      </c>
      <c r="D236" t="s">
        <v>1020</v>
      </c>
      <c r="E236" t="s">
        <v>1021</v>
      </c>
      <c r="F236" t="s">
        <v>110</v>
      </c>
      <c r="G236" t="s">
        <v>56</v>
      </c>
      <c r="H236" t="s">
        <v>111</v>
      </c>
      <c r="I236" t="s">
        <v>50</v>
      </c>
      <c r="J236" t="s">
        <v>51</v>
      </c>
      <c r="K236" t="s">
        <v>120</v>
      </c>
      <c r="L236">
        <v>7.4</v>
      </c>
      <c r="M236">
        <v>3.9</v>
      </c>
      <c r="N236" t="s">
        <v>26</v>
      </c>
      <c r="O236" t="s">
        <v>27</v>
      </c>
      <c r="P236" t="s">
        <v>28</v>
      </c>
      <c r="Q236">
        <f>VLOOKUP(B236,Tabelle2!C:S,17,0)</f>
        <v>0</v>
      </c>
    </row>
    <row r="237" spans="1:17" x14ac:dyDescent="0.3">
      <c r="A237" t="s">
        <v>112</v>
      </c>
      <c r="B237" t="s">
        <v>1022</v>
      </c>
      <c r="C237" t="s">
        <v>1023</v>
      </c>
      <c r="D237" t="s">
        <v>1023</v>
      </c>
      <c r="E237" t="s">
        <v>1024</v>
      </c>
      <c r="F237" t="s">
        <v>110</v>
      </c>
      <c r="G237" t="s">
        <v>56</v>
      </c>
      <c r="H237" t="s">
        <v>111</v>
      </c>
      <c r="I237" t="s">
        <v>50</v>
      </c>
      <c r="J237" t="s">
        <v>51</v>
      </c>
      <c r="K237" t="s">
        <v>32</v>
      </c>
      <c r="L237">
        <v>7.4</v>
      </c>
      <c r="M237">
        <v>3.9</v>
      </c>
      <c r="N237" t="s">
        <v>26</v>
      </c>
      <c r="O237" t="s">
        <v>27</v>
      </c>
      <c r="P237" t="s">
        <v>28</v>
      </c>
      <c r="Q237">
        <f>VLOOKUP(B237,Tabelle2!C:S,17,0)</f>
        <v>0</v>
      </c>
    </row>
    <row r="238" spans="1:17" x14ac:dyDescent="0.3">
      <c r="A238" t="s">
        <v>112</v>
      </c>
      <c r="B238" t="s">
        <v>1025</v>
      </c>
      <c r="C238" t="s">
        <v>1026</v>
      </c>
      <c r="D238" t="s">
        <v>1026</v>
      </c>
      <c r="E238" t="s">
        <v>1027</v>
      </c>
      <c r="F238" t="s">
        <v>1028</v>
      </c>
      <c r="G238" t="s">
        <v>79</v>
      </c>
      <c r="H238" t="s">
        <v>95</v>
      </c>
      <c r="I238" t="s">
        <v>1029</v>
      </c>
      <c r="J238" t="s">
        <v>789</v>
      </c>
      <c r="K238" t="s">
        <v>32</v>
      </c>
      <c r="L238">
        <v>16.5</v>
      </c>
      <c r="M238">
        <v>-97.2</v>
      </c>
      <c r="N238" t="s">
        <v>26</v>
      </c>
      <c r="O238" t="s">
        <v>27</v>
      </c>
      <c r="P238" t="s">
        <v>28</v>
      </c>
      <c r="Q238">
        <f>VLOOKUP(B238,Tabelle2!C:S,17,0)</f>
        <v>0</v>
      </c>
    </row>
    <row r="239" spans="1:17" x14ac:dyDescent="0.3">
      <c r="A239" t="s">
        <v>112</v>
      </c>
      <c r="B239" t="s">
        <v>1030</v>
      </c>
      <c r="C239" t="s">
        <v>1031</v>
      </c>
      <c r="D239" t="s">
        <v>1031</v>
      </c>
      <c r="E239" t="s">
        <v>1032</v>
      </c>
      <c r="F239" t="s">
        <v>1028</v>
      </c>
      <c r="G239" t="s">
        <v>79</v>
      </c>
      <c r="H239" t="s">
        <v>95</v>
      </c>
      <c r="I239" t="s">
        <v>1029</v>
      </c>
      <c r="J239" t="s">
        <v>789</v>
      </c>
      <c r="K239" t="s">
        <v>32</v>
      </c>
      <c r="L239">
        <v>16.5</v>
      </c>
      <c r="M239">
        <v>-97.2</v>
      </c>
      <c r="N239" t="s">
        <v>26</v>
      </c>
      <c r="O239" t="s">
        <v>27</v>
      </c>
      <c r="P239" t="s">
        <v>28</v>
      </c>
      <c r="Q239">
        <f>VLOOKUP(B239,Tabelle2!C:S,17,0)</f>
        <v>0</v>
      </c>
    </row>
    <row r="240" spans="1:17" x14ac:dyDescent="0.3">
      <c r="A240" t="s">
        <v>112</v>
      </c>
      <c r="B240" t="s">
        <v>1033</v>
      </c>
      <c r="C240" t="s">
        <v>1034</v>
      </c>
      <c r="D240" t="s">
        <v>1034</v>
      </c>
      <c r="E240" t="s">
        <v>1035</v>
      </c>
      <c r="F240" t="s">
        <v>47</v>
      </c>
      <c r="G240" t="s">
        <v>48</v>
      </c>
      <c r="H240" t="s">
        <v>49</v>
      </c>
      <c r="I240" t="s">
        <v>50</v>
      </c>
      <c r="J240" t="s">
        <v>51</v>
      </c>
      <c r="K240" t="s">
        <v>120</v>
      </c>
      <c r="L240">
        <v>21</v>
      </c>
      <c r="M240">
        <v>100</v>
      </c>
      <c r="N240" t="s">
        <v>26</v>
      </c>
      <c r="O240" t="s">
        <v>27</v>
      </c>
      <c r="P240" t="s">
        <v>28</v>
      </c>
      <c r="Q240">
        <f>VLOOKUP(B240,Tabelle2!C:S,17,0)</f>
        <v>0</v>
      </c>
    </row>
    <row r="241" spans="1:17" x14ac:dyDescent="0.3">
      <c r="A241" t="s">
        <v>112</v>
      </c>
      <c r="B241" t="s">
        <v>1036</v>
      </c>
      <c r="C241" t="s">
        <v>1037</v>
      </c>
      <c r="D241" t="s">
        <v>1037</v>
      </c>
      <c r="E241" t="s">
        <v>1038</v>
      </c>
      <c r="F241" t="s">
        <v>47</v>
      </c>
      <c r="G241" t="s">
        <v>48</v>
      </c>
      <c r="H241" t="s">
        <v>49</v>
      </c>
      <c r="I241" t="s">
        <v>50</v>
      </c>
      <c r="J241" t="s">
        <v>51</v>
      </c>
      <c r="K241" t="s">
        <v>32</v>
      </c>
      <c r="L241">
        <v>21</v>
      </c>
      <c r="M241">
        <v>100</v>
      </c>
      <c r="N241" t="s">
        <v>26</v>
      </c>
      <c r="O241" t="s">
        <v>27</v>
      </c>
      <c r="P241" t="s">
        <v>28</v>
      </c>
      <c r="Q241">
        <f>VLOOKUP(B241,Tabelle2!C:S,17,0)</f>
        <v>0</v>
      </c>
    </row>
    <row r="242" spans="1:17" x14ac:dyDescent="0.3">
      <c r="A242" t="s">
        <v>112</v>
      </c>
      <c r="B242" t="s">
        <v>1039</v>
      </c>
      <c r="C242" t="s">
        <v>1040</v>
      </c>
      <c r="D242" t="s">
        <v>1040</v>
      </c>
      <c r="E242" t="s">
        <v>1041</v>
      </c>
      <c r="F242" t="s">
        <v>47</v>
      </c>
      <c r="G242" t="s">
        <v>48</v>
      </c>
      <c r="H242" t="s">
        <v>49</v>
      </c>
      <c r="I242" t="s">
        <v>50</v>
      </c>
      <c r="J242" t="s">
        <v>51</v>
      </c>
      <c r="K242" t="s">
        <v>120</v>
      </c>
      <c r="L242">
        <v>21</v>
      </c>
      <c r="M242">
        <v>100</v>
      </c>
      <c r="N242" t="s">
        <v>26</v>
      </c>
      <c r="O242" t="s">
        <v>27</v>
      </c>
      <c r="P242" t="s">
        <v>28</v>
      </c>
      <c r="Q242">
        <f>VLOOKUP(B242,Tabelle2!C:S,17,0)</f>
        <v>0</v>
      </c>
    </row>
    <row r="243" spans="1:17" x14ac:dyDescent="0.3">
      <c r="A243" t="s">
        <v>112</v>
      </c>
      <c r="B243" t="s">
        <v>1042</v>
      </c>
      <c r="C243" t="s">
        <v>1043</v>
      </c>
      <c r="D243" t="s">
        <v>1043</v>
      </c>
      <c r="E243" t="s">
        <v>1044</v>
      </c>
      <c r="F243" t="s">
        <v>1045</v>
      </c>
      <c r="G243" t="s">
        <v>126</v>
      </c>
      <c r="H243" t="s">
        <v>127</v>
      </c>
      <c r="I243" t="s">
        <v>1046</v>
      </c>
      <c r="Q243">
        <f>VLOOKUP(B243,Tabelle2!C:S,17,0)</f>
        <v>0</v>
      </c>
    </row>
    <row r="244" spans="1:17" x14ac:dyDescent="0.3">
      <c r="A244" t="s">
        <v>112</v>
      </c>
      <c r="B244" t="s">
        <v>1047</v>
      </c>
      <c r="C244" t="s">
        <v>1048</v>
      </c>
      <c r="D244" t="s">
        <v>1048</v>
      </c>
      <c r="E244" t="s">
        <v>1049</v>
      </c>
      <c r="F244" t="s">
        <v>1045</v>
      </c>
      <c r="G244" t="s">
        <v>126</v>
      </c>
      <c r="H244" t="s">
        <v>127</v>
      </c>
      <c r="I244" t="s">
        <v>1046</v>
      </c>
      <c r="Q244">
        <f>VLOOKUP(B244,Tabelle2!C:S,17,0)</f>
        <v>0</v>
      </c>
    </row>
    <row r="245" spans="1:17" x14ac:dyDescent="0.3">
      <c r="A245" t="s">
        <v>112</v>
      </c>
      <c r="B245" t="s">
        <v>1050</v>
      </c>
      <c r="C245" t="s">
        <v>1051</v>
      </c>
      <c r="D245" t="s">
        <v>1051</v>
      </c>
      <c r="E245" t="s">
        <v>1052</v>
      </c>
      <c r="F245" t="s">
        <v>1045</v>
      </c>
      <c r="G245" t="s">
        <v>126</v>
      </c>
      <c r="H245" t="s">
        <v>127</v>
      </c>
      <c r="I245" t="s">
        <v>1046</v>
      </c>
      <c r="Q245">
        <f>VLOOKUP(B245,Tabelle2!C:S,17,0)</f>
        <v>0</v>
      </c>
    </row>
    <row r="246" spans="1:17" x14ac:dyDescent="0.3">
      <c r="A246" t="s">
        <v>112</v>
      </c>
      <c r="B246" t="s">
        <v>1053</v>
      </c>
      <c r="C246" t="s">
        <v>1054</v>
      </c>
      <c r="D246" t="s">
        <v>1054</v>
      </c>
      <c r="E246" t="s">
        <v>1055</v>
      </c>
      <c r="F246" t="s">
        <v>1056</v>
      </c>
      <c r="G246" t="s">
        <v>37</v>
      </c>
      <c r="H246" t="s">
        <v>849</v>
      </c>
      <c r="I246" t="s">
        <v>50</v>
      </c>
      <c r="J246" t="s">
        <v>300</v>
      </c>
      <c r="K246" t="s">
        <v>120</v>
      </c>
      <c r="L246">
        <v>60.2</v>
      </c>
      <c r="M246">
        <v>24.9</v>
      </c>
      <c r="N246" t="s">
        <v>26</v>
      </c>
      <c r="O246" t="s">
        <v>27</v>
      </c>
      <c r="P246" t="s">
        <v>28</v>
      </c>
      <c r="Q246">
        <f>VLOOKUP(B246,Tabelle2!C:S,17,0)</f>
        <v>0</v>
      </c>
    </row>
    <row r="247" spans="1:17" x14ac:dyDescent="0.3">
      <c r="A247" t="s">
        <v>112</v>
      </c>
      <c r="B247" t="s">
        <v>1057</v>
      </c>
      <c r="C247" t="s">
        <v>1058</v>
      </c>
      <c r="D247" t="s">
        <v>1058</v>
      </c>
      <c r="E247" t="s">
        <v>1059</v>
      </c>
      <c r="F247" t="s">
        <v>1056</v>
      </c>
      <c r="G247" t="s">
        <v>37</v>
      </c>
      <c r="H247" t="s">
        <v>849</v>
      </c>
      <c r="I247" t="s">
        <v>50</v>
      </c>
      <c r="J247" t="s">
        <v>300</v>
      </c>
      <c r="K247" t="s">
        <v>32</v>
      </c>
      <c r="L247">
        <v>60.2</v>
      </c>
      <c r="M247">
        <v>24.9</v>
      </c>
      <c r="N247" t="s">
        <v>26</v>
      </c>
      <c r="O247" t="s">
        <v>27</v>
      </c>
      <c r="P247" t="s">
        <v>28</v>
      </c>
      <c r="Q247">
        <f>VLOOKUP(B247,Tabelle2!C:S,17,0)</f>
        <v>0</v>
      </c>
    </row>
    <row r="248" spans="1:17" x14ac:dyDescent="0.3">
      <c r="A248" t="s">
        <v>112</v>
      </c>
      <c r="B248" t="s">
        <v>1060</v>
      </c>
      <c r="C248" t="s">
        <v>1061</v>
      </c>
      <c r="D248" t="s">
        <v>1061</v>
      </c>
      <c r="E248" t="s">
        <v>1062</v>
      </c>
      <c r="F248" t="s">
        <v>1056</v>
      </c>
      <c r="G248" t="s">
        <v>37</v>
      </c>
      <c r="H248" t="s">
        <v>849</v>
      </c>
      <c r="I248" t="s">
        <v>50</v>
      </c>
      <c r="J248" t="s">
        <v>300</v>
      </c>
      <c r="K248" t="s">
        <v>32</v>
      </c>
      <c r="L248">
        <v>60.2</v>
      </c>
      <c r="M248">
        <v>24.9</v>
      </c>
      <c r="N248" t="s">
        <v>26</v>
      </c>
      <c r="O248" t="s">
        <v>27</v>
      </c>
      <c r="P248" t="s">
        <v>28</v>
      </c>
      <c r="Q248">
        <f>VLOOKUP(B248,Tabelle2!C:S,17,0)</f>
        <v>0</v>
      </c>
    </row>
    <row r="249" spans="1:17" x14ac:dyDescent="0.3">
      <c r="A249" t="s">
        <v>112</v>
      </c>
      <c r="B249" t="s">
        <v>1063</v>
      </c>
      <c r="C249" t="s">
        <v>1064</v>
      </c>
      <c r="D249" t="s">
        <v>1064</v>
      </c>
      <c r="E249" t="s">
        <v>1065</v>
      </c>
      <c r="F249" t="s">
        <v>278</v>
      </c>
      <c r="G249" t="s">
        <v>48</v>
      </c>
      <c r="H249" t="s">
        <v>279</v>
      </c>
      <c r="I249" t="s">
        <v>50</v>
      </c>
      <c r="J249" t="s">
        <v>51</v>
      </c>
      <c r="K249" t="s">
        <v>120</v>
      </c>
      <c r="L249">
        <v>37.85</v>
      </c>
      <c r="M249">
        <v>139</v>
      </c>
      <c r="N249" t="s">
        <v>26</v>
      </c>
      <c r="O249" t="s">
        <v>27</v>
      </c>
      <c r="P249" t="s">
        <v>28</v>
      </c>
      <c r="Q249">
        <f>VLOOKUP(B249,Tabelle2!C:S,17,0)</f>
        <v>0</v>
      </c>
    </row>
    <row r="250" spans="1:17" x14ac:dyDescent="0.3">
      <c r="A250" t="s">
        <v>112</v>
      </c>
      <c r="B250" t="s">
        <v>1066</v>
      </c>
      <c r="C250" t="s">
        <v>1067</v>
      </c>
      <c r="D250" t="s">
        <v>1067</v>
      </c>
      <c r="E250" t="s">
        <v>1068</v>
      </c>
      <c r="F250" t="s">
        <v>278</v>
      </c>
      <c r="G250" t="s">
        <v>48</v>
      </c>
      <c r="H250" t="s">
        <v>279</v>
      </c>
      <c r="I250" t="s">
        <v>1069</v>
      </c>
      <c r="J250" t="s">
        <v>134</v>
      </c>
      <c r="K250" t="s">
        <v>32</v>
      </c>
      <c r="L250">
        <v>37.85</v>
      </c>
      <c r="M250">
        <v>139</v>
      </c>
      <c r="N250" t="s">
        <v>26</v>
      </c>
      <c r="O250" t="s">
        <v>27</v>
      </c>
      <c r="P250" t="s">
        <v>28</v>
      </c>
      <c r="Q250">
        <f>VLOOKUP(B250,Tabelle2!C:S,17,0)</f>
        <v>0</v>
      </c>
    </row>
    <row r="251" spans="1:17" x14ac:dyDescent="0.3">
      <c r="A251" t="s">
        <v>112</v>
      </c>
      <c r="B251" t="s">
        <v>1070</v>
      </c>
      <c r="C251" t="s">
        <v>1071</v>
      </c>
      <c r="D251" t="s">
        <v>1071</v>
      </c>
      <c r="E251" t="s">
        <v>1072</v>
      </c>
      <c r="F251" t="s">
        <v>283</v>
      </c>
      <c r="G251" t="s">
        <v>37</v>
      </c>
      <c r="H251" t="s">
        <v>284</v>
      </c>
      <c r="I251" t="s">
        <v>285</v>
      </c>
      <c r="J251" t="s">
        <v>286</v>
      </c>
      <c r="K251" t="s">
        <v>32</v>
      </c>
      <c r="L251">
        <v>32.055</v>
      </c>
      <c r="M251">
        <v>35.914000000000001</v>
      </c>
      <c r="N251" t="s">
        <v>121</v>
      </c>
      <c r="O251" t="s">
        <v>27</v>
      </c>
      <c r="P251" t="s">
        <v>28</v>
      </c>
      <c r="Q251">
        <f>VLOOKUP(B251,Tabelle2!C:S,17,0)</f>
        <v>0</v>
      </c>
    </row>
    <row r="252" spans="1:17" x14ac:dyDescent="0.3">
      <c r="A252" t="s">
        <v>112</v>
      </c>
      <c r="B252" t="s">
        <v>1073</v>
      </c>
      <c r="C252" t="s">
        <v>1074</v>
      </c>
      <c r="D252" t="s">
        <v>1074</v>
      </c>
      <c r="E252" t="s">
        <v>1075</v>
      </c>
      <c r="F252" t="s">
        <v>283</v>
      </c>
      <c r="G252" t="s">
        <v>37</v>
      </c>
      <c r="H252" t="s">
        <v>284</v>
      </c>
      <c r="I252" t="s">
        <v>285</v>
      </c>
      <c r="J252" t="s">
        <v>286</v>
      </c>
      <c r="K252" t="s">
        <v>32</v>
      </c>
      <c r="L252">
        <v>32.055</v>
      </c>
      <c r="M252">
        <v>35.914000000000001</v>
      </c>
      <c r="N252" t="s">
        <v>121</v>
      </c>
      <c r="O252" t="s">
        <v>27</v>
      </c>
      <c r="P252" t="s">
        <v>28</v>
      </c>
      <c r="Q252">
        <f>VLOOKUP(B252,Tabelle2!C:S,17,0)</f>
        <v>0</v>
      </c>
    </row>
    <row r="253" spans="1:17" x14ac:dyDescent="0.3">
      <c r="A253" t="s">
        <v>112</v>
      </c>
      <c r="B253" t="s">
        <v>1076</v>
      </c>
      <c r="C253" t="s">
        <v>1077</v>
      </c>
      <c r="D253" t="s">
        <v>1077</v>
      </c>
      <c r="E253" t="s">
        <v>1078</v>
      </c>
      <c r="F253" t="s">
        <v>73</v>
      </c>
      <c r="G253" t="s">
        <v>56</v>
      </c>
      <c r="H253" t="s">
        <v>74</v>
      </c>
      <c r="I253" t="s">
        <v>50</v>
      </c>
      <c r="J253" t="s">
        <v>51</v>
      </c>
      <c r="K253" t="s">
        <v>32</v>
      </c>
      <c r="L253">
        <v>-18.899999999999999</v>
      </c>
      <c r="M253">
        <v>21.5</v>
      </c>
      <c r="N253" t="s">
        <v>26</v>
      </c>
      <c r="O253" t="s">
        <v>27</v>
      </c>
      <c r="P253" t="s">
        <v>28</v>
      </c>
      <c r="Q253">
        <f>VLOOKUP(B253,Tabelle2!C:S,17,0)</f>
        <v>0</v>
      </c>
    </row>
    <row r="254" spans="1:17" x14ac:dyDescent="0.3">
      <c r="A254" t="s">
        <v>112</v>
      </c>
      <c r="B254" t="s">
        <v>1079</v>
      </c>
      <c r="C254" t="s">
        <v>1080</v>
      </c>
      <c r="D254" t="s">
        <v>1080</v>
      </c>
      <c r="E254" t="s">
        <v>1081</v>
      </c>
      <c r="F254" t="s">
        <v>73</v>
      </c>
      <c r="G254" t="s">
        <v>56</v>
      </c>
      <c r="H254" t="s">
        <v>74</v>
      </c>
      <c r="I254" t="s">
        <v>50</v>
      </c>
      <c r="J254" t="s">
        <v>51</v>
      </c>
      <c r="K254" t="s">
        <v>32</v>
      </c>
      <c r="L254">
        <v>-18.899999999999999</v>
      </c>
      <c r="M254">
        <v>21.5</v>
      </c>
      <c r="N254" t="s">
        <v>26</v>
      </c>
      <c r="O254" t="s">
        <v>27</v>
      </c>
      <c r="P254" t="s">
        <v>28</v>
      </c>
      <c r="Q254">
        <f>VLOOKUP(B254,Tabelle2!C:S,17,0)</f>
        <v>0</v>
      </c>
    </row>
    <row r="255" spans="1:17" x14ac:dyDescent="0.3">
      <c r="A255" t="s">
        <v>112</v>
      </c>
      <c r="B255" t="s">
        <v>1082</v>
      </c>
      <c r="C255" t="s">
        <v>1083</v>
      </c>
      <c r="D255" t="s">
        <v>1083</v>
      </c>
      <c r="E255" t="s">
        <v>1084</v>
      </c>
      <c r="F255" t="s">
        <v>89</v>
      </c>
      <c r="G255" t="s">
        <v>56</v>
      </c>
      <c r="H255" t="s">
        <v>90</v>
      </c>
      <c r="I255" t="s">
        <v>50</v>
      </c>
      <c r="J255" t="s">
        <v>51</v>
      </c>
      <c r="K255" t="s">
        <v>32</v>
      </c>
      <c r="L255">
        <v>1</v>
      </c>
      <c r="M255">
        <v>29</v>
      </c>
      <c r="N255" t="s">
        <v>26</v>
      </c>
      <c r="O255" t="s">
        <v>27</v>
      </c>
      <c r="P255" t="s">
        <v>28</v>
      </c>
      <c r="Q255">
        <f>VLOOKUP(B255,Tabelle2!C:S,17,0)</f>
        <v>0</v>
      </c>
    </row>
    <row r="256" spans="1:17" x14ac:dyDescent="0.3">
      <c r="A256" t="s">
        <v>112</v>
      </c>
      <c r="B256" t="s">
        <v>1085</v>
      </c>
      <c r="C256" t="s">
        <v>1086</v>
      </c>
      <c r="D256" t="s">
        <v>1086</v>
      </c>
      <c r="E256" t="s">
        <v>1087</v>
      </c>
      <c r="F256" t="s">
        <v>89</v>
      </c>
      <c r="G256" t="s">
        <v>56</v>
      </c>
      <c r="H256" t="s">
        <v>90</v>
      </c>
      <c r="I256" t="s">
        <v>50</v>
      </c>
      <c r="J256" t="s">
        <v>51</v>
      </c>
      <c r="K256" t="s">
        <v>120</v>
      </c>
      <c r="L256">
        <v>1</v>
      </c>
      <c r="M256">
        <v>29</v>
      </c>
      <c r="N256" t="s">
        <v>26</v>
      </c>
      <c r="O256" t="s">
        <v>27</v>
      </c>
      <c r="P256" t="s">
        <v>28</v>
      </c>
      <c r="Q256">
        <f>VLOOKUP(B256,Tabelle2!C:S,17,0)</f>
        <v>0</v>
      </c>
    </row>
    <row r="257" spans="1:17" x14ac:dyDescent="0.3">
      <c r="A257" t="s">
        <v>112</v>
      </c>
      <c r="B257" t="s">
        <v>1088</v>
      </c>
      <c r="C257" t="s">
        <v>1089</v>
      </c>
      <c r="D257" t="s">
        <v>1089</v>
      </c>
      <c r="E257" t="s">
        <v>1090</v>
      </c>
      <c r="F257" t="s">
        <v>89</v>
      </c>
      <c r="G257" t="s">
        <v>56</v>
      </c>
      <c r="H257" t="s">
        <v>90</v>
      </c>
      <c r="I257" t="s">
        <v>50</v>
      </c>
      <c r="J257" t="s">
        <v>51</v>
      </c>
      <c r="K257" t="s">
        <v>32</v>
      </c>
      <c r="L257">
        <v>1</v>
      </c>
      <c r="M257">
        <v>29</v>
      </c>
      <c r="N257" t="s">
        <v>26</v>
      </c>
      <c r="O257" t="s">
        <v>27</v>
      </c>
      <c r="P257" t="s">
        <v>28</v>
      </c>
      <c r="Q257">
        <f>VLOOKUP(B257,Tabelle2!C:S,17,0)</f>
        <v>0</v>
      </c>
    </row>
    <row r="258" spans="1:17" x14ac:dyDescent="0.3">
      <c r="A258" t="s">
        <v>112</v>
      </c>
      <c r="B258" t="s">
        <v>1091</v>
      </c>
      <c r="C258" t="s">
        <v>1092</v>
      </c>
      <c r="D258" t="s">
        <v>1092</v>
      </c>
      <c r="E258" t="s">
        <v>1093</v>
      </c>
      <c r="F258" t="s">
        <v>1094</v>
      </c>
      <c r="G258" t="s">
        <v>48</v>
      </c>
      <c r="H258" t="s">
        <v>49</v>
      </c>
      <c r="I258" t="s">
        <v>50</v>
      </c>
      <c r="J258" t="s">
        <v>51</v>
      </c>
      <c r="K258" t="s">
        <v>32</v>
      </c>
      <c r="L258">
        <v>26</v>
      </c>
      <c r="M258">
        <v>100</v>
      </c>
      <c r="N258" t="s">
        <v>26</v>
      </c>
      <c r="O258" t="s">
        <v>27</v>
      </c>
      <c r="P258" t="s">
        <v>28</v>
      </c>
      <c r="Q258">
        <f>VLOOKUP(B258,Tabelle2!C:S,17,0)</f>
        <v>0</v>
      </c>
    </row>
    <row r="259" spans="1:17" x14ac:dyDescent="0.3">
      <c r="A259" t="s">
        <v>112</v>
      </c>
      <c r="B259" t="s">
        <v>1095</v>
      </c>
      <c r="C259" t="s">
        <v>1096</v>
      </c>
      <c r="D259" t="s">
        <v>1096</v>
      </c>
      <c r="E259" t="s">
        <v>1097</v>
      </c>
      <c r="F259" t="s">
        <v>1094</v>
      </c>
      <c r="G259" t="s">
        <v>48</v>
      </c>
      <c r="H259" t="s">
        <v>49</v>
      </c>
      <c r="I259" t="s">
        <v>50</v>
      </c>
      <c r="J259" t="s">
        <v>51</v>
      </c>
      <c r="K259" t="s">
        <v>120</v>
      </c>
      <c r="L259">
        <v>26</v>
      </c>
      <c r="M259">
        <v>100</v>
      </c>
      <c r="N259" t="s">
        <v>26</v>
      </c>
      <c r="O259" t="s">
        <v>27</v>
      </c>
      <c r="P259" t="s">
        <v>28</v>
      </c>
      <c r="Q259">
        <f>VLOOKUP(B259,Tabelle2!C:S,17,0)</f>
        <v>0</v>
      </c>
    </row>
    <row r="260" spans="1:17" x14ac:dyDescent="0.3">
      <c r="A260" t="s">
        <v>112</v>
      </c>
      <c r="B260" t="s">
        <v>1098</v>
      </c>
      <c r="C260" t="s">
        <v>1099</v>
      </c>
      <c r="D260" t="s">
        <v>1099</v>
      </c>
      <c r="E260" t="s">
        <v>1100</v>
      </c>
      <c r="F260" t="s">
        <v>293</v>
      </c>
      <c r="G260" t="s">
        <v>37</v>
      </c>
      <c r="H260" t="s">
        <v>294</v>
      </c>
      <c r="I260" t="s">
        <v>50</v>
      </c>
      <c r="J260" t="s">
        <v>51</v>
      </c>
      <c r="K260" t="s">
        <v>32</v>
      </c>
      <c r="L260">
        <v>32</v>
      </c>
      <c r="M260">
        <v>35</v>
      </c>
      <c r="N260" t="s">
        <v>26</v>
      </c>
      <c r="O260" t="s">
        <v>27</v>
      </c>
      <c r="P260" t="s">
        <v>28</v>
      </c>
      <c r="Q260">
        <f>VLOOKUP(B260,Tabelle2!C:S,17,0)</f>
        <v>0</v>
      </c>
    </row>
    <row r="261" spans="1:17" x14ac:dyDescent="0.3">
      <c r="A261" t="s">
        <v>112</v>
      </c>
      <c r="B261" t="s">
        <v>1101</v>
      </c>
      <c r="C261" t="s">
        <v>1102</v>
      </c>
      <c r="D261" t="s">
        <v>1102</v>
      </c>
      <c r="E261" t="s">
        <v>1103</v>
      </c>
      <c r="F261" t="s">
        <v>293</v>
      </c>
      <c r="G261" t="s">
        <v>37</v>
      </c>
      <c r="H261" t="s">
        <v>294</v>
      </c>
      <c r="I261" t="s">
        <v>50</v>
      </c>
      <c r="J261" t="s">
        <v>51</v>
      </c>
      <c r="K261" t="s">
        <v>32</v>
      </c>
      <c r="L261">
        <v>32</v>
      </c>
      <c r="M261">
        <v>35</v>
      </c>
      <c r="N261" t="s">
        <v>26</v>
      </c>
      <c r="O261" t="s">
        <v>27</v>
      </c>
      <c r="P261" t="s">
        <v>28</v>
      </c>
      <c r="Q261">
        <f>VLOOKUP(B261,Tabelle2!C:S,17,0)</f>
        <v>0</v>
      </c>
    </row>
    <row r="262" spans="1:17" x14ac:dyDescent="0.3">
      <c r="A262" t="s">
        <v>112</v>
      </c>
      <c r="B262" t="s">
        <v>1104</v>
      </c>
      <c r="C262" t="s">
        <v>1105</v>
      </c>
      <c r="D262" t="s">
        <v>1105</v>
      </c>
      <c r="E262" t="s">
        <v>1106</v>
      </c>
      <c r="F262" t="s">
        <v>1107</v>
      </c>
      <c r="G262" t="s">
        <v>79</v>
      </c>
      <c r="H262" t="s">
        <v>1108</v>
      </c>
      <c r="I262" t="s">
        <v>23</v>
      </c>
      <c r="J262" t="s">
        <v>134</v>
      </c>
      <c r="K262" t="s">
        <v>120</v>
      </c>
      <c r="L262">
        <v>-13.5</v>
      </c>
      <c r="M262">
        <v>-72</v>
      </c>
      <c r="N262" t="s">
        <v>26</v>
      </c>
      <c r="O262" t="s">
        <v>27</v>
      </c>
      <c r="P262" t="s">
        <v>28</v>
      </c>
      <c r="Q262">
        <f>VLOOKUP(B262,Tabelle2!C:S,17,0)</f>
        <v>0</v>
      </c>
    </row>
    <row r="263" spans="1:17" x14ac:dyDescent="0.3">
      <c r="A263" t="s">
        <v>112</v>
      </c>
      <c r="B263" t="s">
        <v>1109</v>
      </c>
      <c r="C263" t="s">
        <v>1110</v>
      </c>
      <c r="D263" t="s">
        <v>1110</v>
      </c>
      <c r="E263" t="s">
        <v>1111</v>
      </c>
      <c r="F263" t="s">
        <v>1107</v>
      </c>
      <c r="G263" t="s">
        <v>79</v>
      </c>
      <c r="H263" t="s">
        <v>1108</v>
      </c>
      <c r="I263" t="s">
        <v>23</v>
      </c>
      <c r="J263" t="s">
        <v>134</v>
      </c>
      <c r="K263" t="s">
        <v>32</v>
      </c>
      <c r="L263">
        <v>-13.5</v>
      </c>
      <c r="M263">
        <v>-72</v>
      </c>
      <c r="N263" t="s">
        <v>26</v>
      </c>
      <c r="O263" t="s">
        <v>27</v>
      </c>
      <c r="P263" t="s">
        <v>28</v>
      </c>
      <c r="Q263">
        <f>VLOOKUP(B263,Tabelle2!C:S,17,0)</f>
        <v>0</v>
      </c>
    </row>
    <row r="264" spans="1:17" x14ac:dyDescent="0.3">
      <c r="A264" t="s">
        <v>112</v>
      </c>
      <c r="B264" t="s">
        <v>1112</v>
      </c>
      <c r="C264" t="s">
        <v>1113</v>
      </c>
      <c r="D264" t="s">
        <v>1113</v>
      </c>
      <c r="E264" t="s">
        <v>1114</v>
      </c>
      <c r="F264" t="s">
        <v>1107</v>
      </c>
      <c r="G264" t="s">
        <v>79</v>
      </c>
      <c r="H264" t="s">
        <v>1108</v>
      </c>
      <c r="I264" t="s">
        <v>50</v>
      </c>
      <c r="J264" t="s">
        <v>1115</v>
      </c>
      <c r="K264" t="s">
        <v>120</v>
      </c>
      <c r="L264">
        <v>-13.5</v>
      </c>
      <c r="M264">
        <v>-72</v>
      </c>
      <c r="N264" t="s">
        <v>121</v>
      </c>
      <c r="O264" t="s">
        <v>27</v>
      </c>
      <c r="P264" t="s">
        <v>28</v>
      </c>
      <c r="Q264">
        <f>VLOOKUP(B264,Tabelle2!C:S,17,0)</f>
        <v>0</v>
      </c>
    </row>
    <row r="265" spans="1:17" x14ac:dyDescent="0.3">
      <c r="A265" t="s">
        <v>112</v>
      </c>
      <c r="B265" t="s">
        <v>1116</v>
      </c>
      <c r="C265" t="s">
        <v>1117</v>
      </c>
      <c r="D265" t="s">
        <v>1117</v>
      </c>
      <c r="E265" t="s">
        <v>1118</v>
      </c>
      <c r="F265" t="s">
        <v>298</v>
      </c>
      <c r="G265" t="s">
        <v>176</v>
      </c>
      <c r="H265" t="s">
        <v>225</v>
      </c>
      <c r="I265" t="s">
        <v>299</v>
      </c>
      <c r="J265" t="s">
        <v>300</v>
      </c>
      <c r="K265" t="s">
        <v>32</v>
      </c>
      <c r="L265">
        <v>31.5</v>
      </c>
      <c r="M265">
        <v>74.3</v>
      </c>
      <c r="N265" t="s">
        <v>26</v>
      </c>
      <c r="O265" t="s">
        <v>27</v>
      </c>
      <c r="P265" t="s">
        <v>28</v>
      </c>
      <c r="Q265">
        <f>VLOOKUP(B265,Tabelle2!C:S,17,0)</f>
        <v>0</v>
      </c>
    </row>
    <row r="266" spans="1:17" x14ac:dyDescent="0.3">
      <c r="A266" t="s">
        <v>112</v>
      </c>
      <c r="B266" t="s">
        <v>1119</v>
      </c>
      <c r="C266" t="s">
        <v>1120</v>
      </c>
      <c r="D266" t="s">
        <v>1120</v>
      </c>
      <c r="E266" t="s">
        <v>1121</v>
      </c>
      <c r="F266" t="s">
        <v>298</v>
      </c>
      <c r="G266" t="s">
        <v>176</v>
      </c>
      <c r="H266" t="s">
        <v>225</v>
      </c>
      <c r="I266" t="s">
        <v>299</v>
      </c>
      <c r="J266" t="s">
        <v>300</v>
      </c>
      <c r="K266" t="s">
        <v>32</v>
      </c>
      <c r="L266">
        <v>31.5</v>
      </c>
      <c r="M266">
        <v>74.3</v>
      </c>
      <c r="N266" t="s">
        <v>26</v>
      </c>
      <c r="O266" t="s">
        <v>27</v>
      </c>
      <c r="P266" t="s">
        <v>28</v>
      </c>
      <c r="Q266">
        <f>VLOOKUP(B266,Tabelle2!C:S,17,0)</f>
        <v>0</v>
      </c>
    </row>
    <row r="267" spans="1:17" x14ac:dyDescent="0.3">
      <c r="A267" t="s">
        <v>112</v>
      </c>
      <c r="B267" t="s">
        <v>1122</v>
      </c>
      <c r="C267" t="s">
        <v>1123</v>
      </c>
      <c r="D267" t="s">
        <v>1123</v>
      </c>
      <c r="E267" t="s">
        <v>1124</v>
      </c>
      <c r="F267" t="s">
        <v>298</v>
      </c>
      <c r="G267" t="s">
        <v>176</v>
      </c>
      <c r="H267" t="s">
        <v>225</v>
      </c>
      <c r="I267" t="s">
        <v>299</v>
      </c>
      <c r="J267" t="s">
        <v>300</v>
      </c>
      <c r="K267" t="s">
        <v>120</v>
      </c>
      <c r="L267">
        <v>31.5</v>
      </c>
      <c r="M267">
        <v>74.3</v>
      </c>
      <c r="N267" t="s">
        <v>26</v>
      </c>
      <c r="O267" t="s">
        <v>27</v>
      </c>
      <c r="P267" t="s">
        <v>28</v>
      </c>
      <c r="Q267">
        <f>VLOOKUP(B267,Tabelle2!C:S,17,0)</f>
        <v>0</v>
      </c>
    </row>
    <row r="268" spans="1:17" x14ac:dyDescent="0.3">
      <c r="A268" t="s">
        <v>112</v>
      </c>
      <c r="B268" t="s">
        <v>1125</v>
      </c>
      <c r="C268" t="s">
        <v>1126</v>
      </c>
      <c r="D268" t="s">
        <v>1126</v>
      </c>
      <c r="E268" t="s">
        <v>1127</v>
      </c>
      <c r="F268" t="s">
        <v>100</v>
      </c>
      <c r="G268" t="s">
        <v>21</v>
      </c>
      <c r="H268" t="s">
        <v>101</v>
      </c>
      <c r="I268" t="s">
        <v>304</v>
      </c>
      <c r="J268" t="s">
        <v>51</v>
      </c>
      <c r="K268" t="s">
        <v>120</v>
      </c>
      <c r="L268">
        <v>-4</v>
      </c>
      <c r="M268">
        <v>143</v>
      </c>
      <c r="N268" t="s">
        <v>26</v>
      </c>
      <c r="O268" t="s">
        <v>27</v>
      </c>
      <c r="P268" t="s">
        <v>28</v>
      </c>
      <c r="Q268">
        <f>VLOOKUP(B268,Tabelle2!C:S,17,0)</f>
        <v>0</v>
      </c>
    </row>
    <row r="269" spans="1:17" x14ac:dyDescent="0.3">
      <c r="A269" t="s">
        <v>112</v>
      </c>
      <c r="B269" t="s">
        <v>1128</v>
      </c>
      <c r="C269" t="s">
        <v>1129</v>
      </c>
      <c r="D269" t="s">
        <v>1129</v>
      </c>
      <c r="E269" t="s">
        <v>1130</v>
      </c>
      <c r="F269" t="s">
        <v>100</v>
      </c>
      <c r="G269" t="s">
        <v>21</v>
      </c>
      <c r="H269" t="s">
        <v>101</v>
      </c>
      <c r="I269" t="s">
        <v>304</v>
      </c>
      <c r="J269" t="s">
        <v>51</v>
      </c>
      <c r="K269" t="s">
        <v>32</v>
      </c>
      <c r="L269">
        <v>-4</v>
      </c>
      <c r="M269">
        <v>143</v>
      </c>
      <c r="N269" t="s">
        <v>26</v>
      </c>
      <c r="O269" t="s">
        <v>27</v>
      </c>
      <c r="P269" t="s">
        <v>28</v>
      </c>
      <c r="Q269">
        <f>VLOOKUP(B269,Tabelle2!C:S,17,0)</f>
        <v>0</v>
      </c>
    </row>
    <row r="270" spans="1:17" x14ac:dyDescent="0.3">
      <c r="A270" t="s">
        <v>112</v>
      </c>
      <c r="B270" t="s">
        <v>1131</v>
      </c>
      <c r="C270" t="s">
        <v>1132</v>
      </c>
      <c r="D270" t="s">
        <v>1132</v>
      </c>
      <c r="E270" t="s">
        <v>1133</v>
      </c>
      <c r="F270" t="s">
        <v>100</v>
      </c>
      <c r="G270" t="s">
        <v>21</v>
      </c>
      <c r="H270" t="s">
        <v>101</v>
      </c>
      <c r="I270" t="s">
        <v>304</v>
      </c>
      <c r="J270" t="s">
        <v>51</v>
      </c>
      <c r="K270" t="s">
        <v>32</v>
      </c>
      <c r="L270">
        <v>-4</v>
      </c>
      <c r="M270">
        <v>143</v>
      </c>
      <c r="N270" t="s">
        <v>26</v>
      </c>
      <c r="O270" t="s">
        <v>27</v>
      </c>
      <c r="P270" t="s">
        <v>28</v>
      </c>
      <c r="Q270">
        <f>VLOOKUP(B270,Tabelle2!C:S,17,0)</f>
        <v>0</v>
      </c>
    </row>
    <row r="271" spans="1:17" x14ac:dyDescent="0.3">
      <c r="A271" t="s">
        <v>112</v>
      </c>
      <c r="B271" t="s">
        <v>1134</v>
      </c>
      <c r="C271" t="s">
        <v>1135</v>
      </c>
      <c r="D271" t="s">
        <v>1135</v>
      </c>
      <c r="E271" t="s">
        <v>1136</v>
      </c>
      <c r="F271" t="s">
        <v>100</v>
      </c>
      <c r="G271" t="s">
        <v>21</v>
      </c>
      <c r="H271" t="s">
        <v>101</v>
      </c>
      <c r="I271" t="s">
        <v>304</v>
      </c>
      <c r="J271" t="s">
        <v>51</v>
      </c>
      <c r="K271" t="s">
        <v>32</v>
      </c>
      <c r="L271">
        <v>-4</v>
      </c>
      <c r="M271">
        <v>143</v>
      </c>
      <c r="N271" t="s">
        <v>26</v>
      </c>
      <c r="O271" t="s">
        <v>27</v>
      </c>
      <c r="P271" t="s">
        <v>28</v>
      </c>
      <c r="Q271">
        <f>VLOOKUP(B271,Tabelle2!C:S,17,0)</f>
        <v>0</v>
      </c>
    </row>
    <row r="272" spans="1:17" x14ac:dyDescent="0.3">
      <c r="A272" t="s">
        <v>112</v>
      </c>
      <c r="B272" t="s">
        <v>1137</v>
      </c>
      <c r="C272" t="s">
        <v>1138</v>
      </c>
      <c r="D272" t="s">
        <v>1138</v>
      </c>
      <c r="E272" t="s">
        <v>1139</v>
      </c>
      <c r="F272" t="s">
        <v>100</v>
      </c>
      <c r="G272" t="s">
        <v>21</v>
      </c>
      <c r="H272" t="s">
        <v>101</v>
      </c>
      <c r="I272" t="s">
        <v>304</v>
      </c>
      <c r="J272" t="s">
        <v>51</v>
      </c>
      <c r="K272" t="s">
        <v>120</v>
      </c>
      <c r="L272">
        <v>-4</v>
      </c>
      <c r="M272">
        <v>143</v>
      </c>
      <c r="N272" t="s">
        <v>26</v>
      </c>
      <c r="O272" t="s">
        <v>27</v>
      </c>
      <c r="P272" t="s">
        <v>28</v>
      </c>
      <c r="Q272">
        <f>VLOOKUP(B272,Tabelle2!C:S,17,0)</f>
        <v>0</v>
      </c>
    </row>
    <row r="273" spans="1:17" x14ac:dyDescent="0.3">
      <c r="A273" t="s">
        <v>112</v>
      </c>
      <c r="B273" t="s">
        <v>1140</v>
      </c>
      <c r="C273" t="s">
        <v>1141</v>
      </c>
      <c r="D273" t="s">
        <v>1141</v>
      </c>
      <c r="E273" t="s">
        <v>1142</v>
      </c>
      <c r="F273" t="s">
        <v>100</v>
      </c>
      <c r="G273" t="s">
        <v>21</v>
      </c>
      <c r="H273" t="s">
        <v>101</v>
      </c>
      <c r="I273" t="s">
        <v>304</v>
      </c>
      <c r="J273" t="s">
        <v>51</v>
      </c>
      <c r="K273" t="s">
        <v>120</v>
      </c>
      <c r="L273">
        <v>-4</v>
      </c>
      <c r="M273">
        <v>143</v>
      </c>
      <c r="N273" t="s">
        <v>26</v>
      </c>
      <c r="O273" t="s">
        <v>27</v>
      </c>
      <c r="P273" t="s">
        <v>28</v>
      </c>
      <c r="Q273">
        <f>VLOOKUP(B273,Tabelle2!C:S,17,0)</f>
        <v>0</v>
      </c>
    </row>
    <row r="274" spans="1:17" x14ac:dyDescent="0.3">
      <c r="A274" t="s">
        <v>112</v>
      </c>
      <c r="B274" t="s">
        <v>1143</v>
      </c>
      <c r="C274" t="s">
        <v>1144</v>
      </c>
      <c r="D274" t="s">
        <v>1144</v>
      </c>
      <c r="E274" t="s">
        <v>1145</v>
      </c>
      <c r="F274" t="s">
        <v>100</v>
      </c>
      <c r="G274" t="s">
        <v>21</v>
      </c>
      <c r="H274" t="s">
        <v>101</v>
      </c>
      <c r="I274" t="s">
        <v>304</v>
      </c>
      <c r="J274" t="s">
        <v>51</v>
      </c>
      <c r="K274" t="s">
        <v>32</v>
      </c>
      <c r="L274">
        <v>-4</v>
      </c>
      <c r="M274">
        <v>143</v>
      </c>
      <c r="N274" t="s">
        <v>26</v>
      </c>
      <c r="O274" t="s">
        <v>27</v>
      </c>
      <c r="P274" t="s">
        <v>28</v>
      </c>
      <c r="Q274">
        <f>VLOOKUP(B274,Tabelle2!C:S,17,0)</f>
        <v>0</v>
      </c>
    </row>
    <row r="275" spans="1:17" x14ac:dyDescent="0.3">
      <c r="A275" t="s">
        <v>112</v>
      </c>
      <c r="B275" t="s">
        <v>1146</v>
      </c>
      <c r="C275" t="s">
        <v>1147</v>
      </c>
      <c r="D275" t="s">
        <v>1147</v>
      </c>
      <c r="E275" t="s">
        <v>1148</v>
      </c>
      <c r="F275" t="s">
        <v>100</v>
      </c>
      <c r="G275" t="s">
        <v>21</v>
      </c>
      <c r="H275" t="s">
        <v>101</v>
      </c>
      <c r="I275" t="s">
        <v>304</v>
      </c>
      <c r="J275" t="s">
        <v>51</v>
      </c>
      <c r="K275" t="s">
        <v>32</v>
      </c>
      <c r="L275">
        <v>-4</v>
      </c>
      <c r="M275">
        <v>143</v>
      </c>
      <c r="N275" t="s">
        <v>26</v>
      </c>
      <c r="O275" t="s">
        <v>27</v>
      </c>
      <c r="P275" t="s">
        <v>28</v>
      </c>
      <c r="Q275">
        <f>VLOOKUP(B275,Tabelle2!C:S,17,0)</f>
        <v>0</v>
      </c>
    </row>
    <row r="276" spans="1:17" x14ac:dyDescent="0.3">
      <c r="A276" t="s">
        <v>112</v>
      </c>
      <c r="B276" t="s">
        <v>1149</v>
      </c>
      <c r="C276" t="s">
        <v>1150</v>
      </c>
      <c r="D276" t="s">
        <v>1150</v>
      </c>
      <c r="E276" t="s">
        <v>1151</v>
      </c>
      <c r="F276" t="s">
        <v>100</v>
      </c>
      <c r="G276" t="s">
        <v>21</v>
      </c>
      <c r="H276" t="s">
        <v>101</v>
      </c>
      <c r="I276" t="s">
        <v>304</v>
      </c>
      <c r="J276" t="s">
        <v>51</v>
      </c>
      <c r="K276" t="s">
        <v>32</v>
      </c>
      <c r="L276">
        <v>-4</v>
      </c>
      <c r="M276">
        <v>143</v>
      </c>
      <c r="N276" t="s">
        <v>26</v>
      </c>
      <c r="O276" t="s">
        <v>27</v>
      </c>
      <c r="P276" t="s">
        <v>28</v>
      </c>
      <c r="Q276">
        <f>VLOOKUP(B276,Tabelle2!C:S,17,0)</f>
        <v>0</v>
      </c>
    </row>
    <row r="277" spans="1:17" x14ac:dyDescent="0.3">
      <c r="A277" t="s">
        <v>112</v>
      </c>
      <c r="B277" t="s">
        <v>1152</v>
      </c>
      <c r="C277" t="s">
        <v>1153</v>
      </c>
      <c r="D277" t="s">
        <v>1153</v>
      </c>
      <c r="E277" t="s">
        <v>1154</v>
      </c>
      <c r="F277" t="s">
        <v>100</v>
      </c>
      <c r="G277" t="s">
        <v>21</v>
      </c>
      <c r="H277" t="s">
        <v>101</v>
      </c>
      <c r="I277" t="s">
        <v>304</v>
      </c>
      <c r="J277" t="s">
        <v>51</v>
      </c>
      <c r="K277" t="s">
        <v>32</v>
      </c>
      <c r="L277">
        <v>-4</v>
      </c>
      <c r="M277">
        <v>143</v>
      </c>
      <c r="N277" t="s">
        <v>26</v>
      </c>
      <c r="O277" t="s">
        <v>27</v>
      </c>
      <c r="P277" t="s">
        <v>28</v>
      </c>
      <c r="Q277">
        <f>VLOOKUP(B277,Tabelle2!C:S,17,0)</f>
        <v>0</v>
      </c>
    </row>
    <row r="278" spans="1:17" x14ac:dyDescent="0.3">
      <c r="A278" t="s">
        <v>112</v>
      </c>
      <c r="B278" t="s">
        <v>1155</v>
      </c>
      <c r="C278" t="s">
        <v>1156</v>
      </c>
      <c r="D278" t="s">
        <v>1156</v>
      </c>
      <c r="E278" t="s">
        <v>1157</v>
      </c>
      <c r="F278" t="s">
        <v>100</v>
      </c>
      <c r="G278" t="s">
        <v>21</v>
      </c>
      <c r="H278" t="s">
        <v>101</v>
      </c>
      <c r="I278" t="s">
        <v>304</v>
      </c>
      <c r="J278" t="s">
        <v>51</v>
      </c>
      <c r="K278" t="s">
        <v>32</v>
      </c>
      <c r="L278">
        <v>-4</v>
      </c>
      <c r="M278">
        <v>143</v>
      </c>
      <c r="N278" t="s">
        <v>26</v>
      </c>
      <c r="O278" t="s">
        <v>27</v>
      </c>
      <c r="P278" t="s">
        <v>28</v>
      </c>
      <c r="Q278">
        <f>VLOOKUP(B278,Tabelle2!C:S,17,0)</f>
        <v>0</v>
      </c>
    </row>
    <row r="279" spans="1:17" x14ac:dyDescent="0.3">
      <c r="A279" t="s">
        <v>112</v>
      </c>
      <c r="B279" t="s">
        <v>1158</v>
      </c>
      <c r="C279" t="s">
        <v>1159</v>
      </c>
      <c r="D279" t="s">
        <v>1159</v>
      </c>
      <c r="E279" t="s">
        <v>1160</v>
      </c>
      <c r="F279" t="s">
        <v>100</v>
      </c>
      <c r="G279" t="s">
        <v>21</v>
      </c>
      <c r="H279" t="s">
        <v>101</v>
      </c>
      <c r="I279" t="s">
        <v>304</v>
      </c>
      <c r="J279" t="s">
        <v>51</v>
      </c>
      <c r="K279" t="s">
        <v>32</v>
      </c>
      <c r="L279">
        <v>-4</v>
      </c>
      <c r="M279">
        <v>143</v>
      </c>
      <c r="N279" t="s">
        <v>26</v>
      </c>
      <c r="O279" t="s">
        <v>27</v>
      </c>
      <c r="P279" t="s">
        <v>28</v>
      </c>
      <c r="Q279">
        <f>VLOOKUP(B279,Tabelle2!C:S,17,0)</f>
        <v>0</v>
      </c>
    </row>
    <row r="280" spans="1:17" x14ac:dyDescent="0.3">
      <c r="A280" t="s">
        <v>112</v>
      </c>
      <c r="B280" t="s">
        <v>1161</v>
      </c>
      <c r="C280" t="s">
        <v>1162</v>
      </c>
      <c r="D280" t="s">
        <v>1162</v>
      </c>
      <c r="E280" t="s">
        <v>1163</v>
      </c>
      <c r="F280" t="s">
        <v>100</v>
      </c>
      <c r="G280" t="s">
        <v>21</v>
      </c>
      <c r="H280" t="s">
        <v>101</v>
      </c>
      <c r="I280" t="s">
        <v>304</v>
      </c>
      <c r="J280" t="s">
        <v>51</v>
      </c>
      <c r="K280" t="s">
        <v>32</v>
      </c>
      <c r="L280">
        <v>-4</v>
      </c>
      <c r="M280">
        <v>143</v>
      </c>
      <c r="N280" t="s">
        <v>26</v>
      </c>
      <c r="O280" t="s">
        <v>27</v>
      </c>
      <c r="P280" t="s">
        <v>28</v>
      </c>
      <c r="Q280">
        <f>VLOOKUP(B280,Tabelle2!C:S,17,0)</f>
        <v>0</v>
      </c>
    </row>
    <row r="281" spans="1:17" x14ac:dyDescent="0.3">
      <c r="A281" t="s">
        <v>16</v>
      </c>
      <c r="B281" t="s">
        <v>1164</v>
      </c>
      <c r="C281" t="s">
        <v>1165</v>
      </c>
      <c r="D281" t="s">
        <v>1165</v>
      </c>
      <c r="E281" t="s">
        <v>1166</v>
      </c>
      <c r="F281" t="s">
        <v>1167</v>
      </c>
      <c r="G281" t="s">
        <v>176</v>
      </c>
      <c r="H281" t="s">
        <v>177</v>
      </c>
      <c r="I281" t="s">
        <v>1168</v>
      </c>
      <c r="Q281" t="e">
        <f>VLOOKUP(B281,Tabelle2!C:S,17,0)</f>
        <v>#N/A</v>
      </c>
    </row>
    <row r="282" spans="1:17" x14ac:dyDescent="0.3">
      <c r="A282" t="s">
        <v>16</v>
      </c>
      <c r="B282" t="s">
        <v>1169</v>
      </c>
      <c r="C282" t="s">
        <v>1170</v>
      </c>
      <c r="D282" t="s">
        <v>1170</v>
      </c>
      <c r="E282" t="s">
        <v>1171</v>
      </c>
      <c r="F282" t="s">
        <v>1172</v>
      </c>
      <c r="G282" t="s">
        <v>176</v>
      </c>
      <c r="H282" t="s">
        <v>177</v>
      </c>
      <c r="I282" t="s">
        <v>1173</v>
      </c>
      <c r="Q282" t="e">
        <f>VLOOKUP(B282,Tabelle2!C:S,17,0)</f>
        <v>#N/A</v>
      </c>
    </row>
    <row r="283" spans="1:17" x14ac:dyDescent="0.3">
      <c r="A283" t="s">
        <v>16</v>
      </c>
      <c r="B283" t="s">
        <v>1174</v>
      </c>
      <c r="C283" t="s">
        <v>1175</v>
      </c>
      <c r="D283" t="s">
        <v>1175</v>
      </c>
      <c r="E283" t="s">
        <v>1176</v>
      </c>
      <c r="F283" t="s">
        <v>1177</v>
      </c>
      <c r="G283" t="s">
        <v>176</v>
      </c>
      <c r="H283" t="s">
        <v>177</v>
      </c>
      <c r="I283" t="s">
        <v>1178</v>
      </c>
      <c r="Q283" t="e">
        <f>VLOOKUP(B283,Tabelle2!C:S,17,0)</f>
        <v>#N/A</v>
      </c>
    </row>
    <row r="284" spans="1:17" x14ac:dyDescent="0.3">
      <c r="A284" t="s">
        <v>16</v>
      </c>
      <c r="B284" t="s">
        <v>1179</v>
      </c>
      <c r="C284" t="s">
        <v>1180</v>
      </c>
      <c r="D284" t="s">
        <v>1180</v>
      </c>
      <c r="E284" t="s">
        <v>1181</v>
      </c>
      <c r="F284" t="s">
        <v>736</v>
      </c>
      <c r="G284" t="s">
        <v>176</v>
      </c>
      <c r="H284" t="s">
        <v>177</v>
      </c>
      <c r="I284" t="s">
        <v>1182</v>
      </c>
      <c r="Q284" t="e">
        <f>VLOOKUP(B284,Tabelle2!C:S,17,0)</f>
        <v>#N/A</v>
      </c>
    </row>
    <row r="285" spans="1:17" x14ac:dyDescent="0.3">
      <c r="A285" t="s">
        <v>16</v>
      </c>
      <c r="B285" t="s">
        <v>1183</v>
      </c>
      <c r="C285" t="s">
        <v>1184</v>
      </c>
      <c r="D285" t="s">
        <v>1184</v>
      </c>
      <c r="E285" t="s">
        <v>1185</v>
      </c>
      <c r="F285" t="s">
        <v>1186</v>
      </c>
      <c r="G285" t="s">
        <v>176</v>
      </c>
      <c r="H285" t="s">
        <v>177</v>
      </c>
      <c r="I285" t="s">
        <v>1187</v>
      </c>
      <c r="J285" t="s">
        <v>1188</v>
      </c>
      <c r="K285" t="s">
        <v>120</v>
      </c>
      <c r="L285">
        <v>11.66666667</v>
      </c>
      <c r="M285">
        <v>92.65</v>
      </c>
      <c r="N285" t="s">
        <v>121</v>
      </c>
      <c r="O285" t="s">
        <v>1189</v>
      </c>
      <c r="P285" t="s">
        <v>1190</v>
      </c>
      <c r="Q285" t="e">
        <f>VLOOKUP(B285,Tabelle2!C:S,17,0)</f>
        <v>#N/A</v>
      </c>
    </row>
    <row r="286" spans="1:17" x14ac:dyDescent="0.3">
      <c r="A286" t="s">
        <v>16</v>
      </c>
      <c r="B286" t="s">
        <v>1191</v>
      </c>
      <c r="C286" t="s">
        <v>1192</v>
      </c>
      <c r="D286" t="s">
        <v>1192</v>
      </c>
      <c r="E286" t="s">
        <v>1193</v>
      </c>
      <c r="F286" t="s">
        <v>1186</v>
      </c>
      <c r="G286" t="s">
        <v>176</v>
      </c>
      <c r="H286" t="s">
        <v>177</v>
      </c>
      <c r="I286" t="s">
        <v>1187</v>
      </c>
      <c r="J286" t="s">
        <v>1188</v>
      </c>
      <c r="K286" t="s">
        <v>120</v>
      </c>
      <c r="L286">
        <v>11.66666667</v>
      </c>
      <c r="M286">
        <v>92.65</v>
      </c>
      <c r="N286" t="s">
        <v>121</v>
      </c>
      <c r="O286" t="s">
        <v>1189</v>
      </c>
      <c r="P286" t="s">
        <v>1190</v>
      </c>
      <c r="Q286" t="e">
        <f>VLOOKUP(B286,Tabelle2!C:S,17,0)</f>
        <v>#N/A</v>
      </c>
    </row>
    <row r="287" spans="1:17" x14ac:dyDescent="0.3">
      <c r="A287" t="s">
        <v>112</v>
      </c>
      <c r="B287" t="s">
        <v>1194</v>
      </c>
      <c r="C287" t="s">
        <v>1195</v>
      </c>
      <c r="D287" t="s">
        <v>1195</v>
      </c>
      <c r="E287" t="s">
        <v>1196</v>
      </c>
      <c r="F287" t="s">
        <v>1197</v>
      </c>
      <c r="G287" t="s">
        <v>56</v>
      </c>
      <c r="H287" t="s">
        <v>90</v>
      </c>
      <c r="I287" t="s">
        <v>1198</v>
      </c>
      <c r="J287" t="s">
        <v>1199</v>
      </c>
      <c r="K287" t="s">
        <v>120</v>
      </c>
      <c r="L287">
        <v>2.5</v>
      </c>
      <c r="M287">
        <v>11.8</v>
      </c>
      <c r="N287" t="s">
        <v>121</v>
      </c>
      <c r="O287" t="s">
        <v>1189</v>
      </c>
      <c r="P287" t="s">
        <v>1190</v>
      </c>
      <c r="Q287" t="e">
        <f>VLOOKUP(B287,Tabelle2!C:S,17,0)</f>
        <v>#N/A</v>
      </c>
    </row>
    <row r="288" spans="1:17" x14ac:dyDescent="0.3">
      <c r="A288" t="s">
        <v>112</v>
      </c>
      <c r="B288" t="s">
        <v>1200</v>
      </c>
      <c r="C288" t="s">
        <v>1201</v>
      </c>
      <c r="D288" t="s">
        <v>1201</v>
      </c>
      <c r="E288" t="s">
        <v>1202</v>
      </c>
      <c r="F288" t="s">
        <v>1203</v>
      </c>
      <c r="G288" t="s">
        <v>79</v>
      </c>
      <c r="H288" t="s">
        <v>95</v>
      </c>
      <c r="I288" t="s">
        <v>1204</v>
      </c>
      <c r="J288" t="s">
        <v>1205</v>
      </c>
      <c r="K288" t="s">
        <v>25</v>
      </c>
      <c r="L288">
        <v>19.010000000000002</v>
      </c>
      <c r="M288">
        <v>-99.06</v>
      </c>
      <c r="N288" t="s">
        <v>60</v>
      </c>
      <c r="O288" t="s">
        <v>1189</v>
      </c>
      <c r="P288" t="s">
        <v>1190</v>
      </c>
      <c r="Q288" t="e">
        <f>VLOOKUP(B288,Tabelle2!C:S,17,0)</f>
        <v>#N/A</v>
      </c>
    </row>
    <row r="289" spans="1:17" x14ac:dyDescent="0.3">
      <c r="A289" t="s">
        <v>112</v>
      </c>
      <c r="B289" t="s">
        <v>1206</v>
      </c>
      <c r="C289" t="s">
        <v>1207</v>
      </c>
      <c r="D289" t="s">
        <v>1207</v>
      </c>
      <c r="E289" t="s">
        <v>1208</v>
      </c>
      <c r="F289" t="s">
        <v>1203</v>
      </c>
      <c r="G289" t="s">
        <v>79</v>
      </c>
      <c r="H289" t="s">
        <v>95</v>
      </c>
      <c r="I289" t="s">
        <v>1204</v>
      </c>
      <c r="J289" t="s">
        <v>1205</v>
      </c>
      <c r="K289" t="s">
        <v>32</v>
      </c>
      <c r="L289">
        <v>19.010000000000002</v>
      </c>
      <c r="M289">
        <v>-99.06</v>
      </c>
      <c r="N289" t="s">
        <v>60</v>
      </c>
      <c r="O289" t="s">
        <v>1189</v>
      </c>
      <c r="P289" t="s">
        <v>1190</v>
      </c>
      <c r="Q289" t="e">
        <f>VLOOKUP(B289,Tabelle2!C:S,17,0)</f>
        <v>#N/A</v>
      </c>
    </row>
    <row r="290" spans="1:17" x14ac:dyDescent="0.3">
      <c r="A290" t="s">
        <v>112</v>
      </c>
      <c r="B290" t="s">
        <v>1209</v>
      </c>
      <c r="C290" t="s">
        <v>1210</v>
      </c>
      <c r="D290" t="s">
        <v>1210</v>
      </c>
      <c r="E290" t="s">
        <v>1211</v>
      </c>
      <c r="F290" t="s">
        <v>1212</v>
      </c>
      <c r="G290" t="s">
        <v>79</v>
      </c>
      <c r="H290" t="s">
        <v>1213</v>
      </c>
      <c r="I290" t="s">
        <v>1214</v>
      </c>
      <c r="J290" t="s">
        <v>1215</v>
      </c>
      <c r="K290" t="s">
        <v>120</v>
      </c>
      <c r="L290">
        <v>59.6</v>
      </c>
      <c r="M290">
        <v>-107.3</v>
      </c>
      <c r="N290" t="s">
        <v>121</v>
      </c>
      <c r="O290" t="s">
        <v>1189</v>
      </c>
      <c r="P290" t="s">
        <v>1190</v>
      </c>
      <c r="Q290" t="e">
        <f>VLOOKUP(B290,Tabelle2!C:S,17,0)</f>
        <v>#N/A</v>
      </c>
    </row>
    <row r="291" spans="1:17" x14ac:dyDescent="0.3">
      <c r="A291" t="s">
        <v>112</v>
      </c>
      <c r="B291" t="s">
        <v>1216</v>
      </c>
      <c r="C291" t="s">
        <v>1217</v>
      </c>
      <c r="D291" t="s">
        <v>1217</v>
      </c>
      <c r="E291" t="s">
        <v>1218</v>
      </c>
      <c r="F291" t="s">
        <v>1212</v>
      </c>
      <c r="G291" t="s">
        <v>79</v>
      </c>
      <c r="H291" t="s">
        <v>1213</v>
      </c>
      <c r="I291" t="s">
        <v>1219</v>
      </c>
      <c r="J291" t="s">
        <v>1215</v>
      </c>
      <c r="K291" t="s">
        <v>32</v>
      </c>
      <c r="L291">
        <v>59.6</v>
      </c>
      <c r="M291">
        <v>-107.3</v>
      </c>
      <c r="N291" t="s">
        <v>121</v>
      </c>
      <c r="O291" t="s">
        <v>1189</v>
      </c>
      <c r="P291" t="s">
        <v>1190</v>
      </c>
      <c r="Q291" t="e">
        <f>VLOOKUP(B291,Tabelle2!C:S,17,0)</f>
        <v>#N/A</v>
      </c>
    </row>
    <row r="292" spans="1:17" x14ac:dyDescent="0.3">
      <c r="A292" t="s">
        <v>112</v>
      </c>
      <c r="B292" t="s">
        <v>1220</v>
      </c>
      <c r="C292" t="s">
        <v>1221</v>
      </c>
      <c r="D292" t="s">
        <v>1221</v>
      </c>
      <c r="E292" t="s">
        <v>1222</v>
      </c>
      <c r="F292" t="s">
        <v>1223</v>
      </c>
      <c r="G292" t="s">
        <v>79</v>
      </c>
      <c r="H292" t="s">
        <v>1213</v>
      </c>
      <c r="I292" t="s">
        <v>1219</v>
      </c>
      <c r="J292" t="s">
        <v>1215</v>
      </c>
      <c r="K292" t="s">
        <v>32</v>
      </c>
      <c r="L292">
        <v>50.3</v>
      </c>
      <c r="M292">
        <v>-102.5</v>
      </c>
      <c r="N292" t="s">
        <v>121</v>
      </c>
      <c r="O292" t="s">
        <v>1189</v>
      </c>
      <c r="P292" t="s">
        <v>1190</v>
      </c>
      <c r="Q292" t="e">
        <f>VLOOKUP(B292,Tabelle2!C:S,17,0)</f>
        <v>#N/A</v>
      </c>
    </row>
    <row r="293" spans="1:17" x14ac:dyDescent="0.3">
      <c r="A293" t="s">
        <v>112</v>
      </c>
      <c r="B293" t="s">
        <v>1224</v>
      </c>
      <c r="C293" t="s">
        <v>1225</v>
      </c>
      <c r="D293" t="s">
        <v>1225</v>
      </c>
      <c r="E293" t="s">
        <v>1226</v>
      </c>
      <c r="F293" t="s">
        <v>1223</v>
      </c>
      <c r="G293" t="s">
        <v>79</v>
      </c>
      <c r="H293" t="s">
        <v>1213</v>
      </c>
      <c r="I293" t="s">
        <v>1219</v>
      </c>
      <c r="J293" t="s">
        <v>1215</v>
      </c>
      <c r="K293" t="s">
        <v>120</v>
      </c>
      <c r="L293">
        <v>50.3</v>
      </c>
      <c r="M293">
        <v>-102.5</v>
      </c>
      <c r="N293" t="s">
        <v>121</v>
      </c>
      <c r="O293" t="s">
        <v>1189</v>
      </c>
      <c r="P293" t="s">
        <v>1190</v>
      </c>
      <c r="Q293" t="e">
        <f>VLOOKUP(B293,Tabelle2!C:S,17,0)</f>
        <v>#N/A</v>
      </c>
    </row>
    <row r="294" spans="1:17" x14ac:dyDescent="0.3">
      <c r="A294" t="s">
        <v>112</v>
      </c>
      <c r="B294" t="s">
        <v>1227</v>
      </c>
      <c r="C294" t="s">
        <v>1228</v>
      </c>
      <c r="D294" t="s">
        <v>1228</v>
      </c>
      <c r="E294" t="s">
        <v>1229</v>
      </c>
      <c r="F294" t="s">
        <v>1230</v>
      </c>
      <c r="G294" t="s">
        <v>56</v>
      </c>
      <c r="H294" t="s">
        <v>111</v>
      </c>
      <c r="I294" t="s">
        <v>1231</v>
      </c>
      <c r="J294" t="s">
        <v>1199</v>
      </c>
      <c r="K294" t="s">
        <v>32</v>
      </c>
      <c r="L294">
        <v>6</v>
      </c>
      <c r="M294">
        <v>7</v>
      </c>
      <c r="N294" t="s">
        <v>121</v>
      </c>
      <c r="O294" t="s">
        <v>1189</v>
      </c>
      <c r="P294" t="s">
        <v>1190</v>
      </c>
      <c r="Q294" t="e">
        <f>VLOOKUP(B294,Tabelle2!C:S,17,0)</f>
        <v>#N/A</v>
      </c>
    </row>
    <row r="295" spans="1:17" x14ac:dyDescent="0.3">
      <c r="A295" t="s">
        <v>112</v>
      </c>
      <c r="B295" t="s">
        <v>1232</v>
      </c>
      <c r="C295" t="s">
        <v>1233</v>
      </c>
      <c r="D295" t="s">
        <v>1233</v>
      </c>
      <c r="E295" t="s">
        <v>1234</v>
      </c>
      <c r="F295" t="s">
        <v>1230</v>
      </c>
      <c r="G295" t="s">
        <v>56</v>
      </c>
      <c r="H295" t="s">
        <v>111</v>
      </c>
      <c r="I295" t="s">
        <v>1231</v>
      </c>
      <c r="J295" t="s">
        <v>1199</v>
      </c>
      <c r="K295" t="s">
        <v>120</v>
      </c>
      <c r="L295">
        <v>6</v>
      </c>
      <c r="M295">
        <v>7</v>
      </c>
      <c r="N295" t="s">
        <v>121</v>
      </c>
      <c r="O295" t="s">
        <v>1189</v>
      </c>
      <c r="P295" t="s">
        <v>1190</v>
      </c>
      <c r="Q295" t="e">
        <f>VLOOKUP(B295,Tabelle2!C:S,17,0)</f>
        <v>#N/A</v>
      </c>
    </row>
    <row r="296" spans="1:17" x14ac:dyDescent="0.3">
      <c r="A296" t="s">
        <v>112</v>
      </c>
      <c r="B296" t="s">
        <v>1235</v>
      </c>
      <c r="C296" t="s">
        <v>1236</v>
      </c>
      <c r="D296" t="s">
        <v>1236</v>
      </c>
      <c r="E296" t="s">
        <v>1237</v>
      </c>
      <c r="F296" t="s">
        <v>1238</v>
      </c>
      <c r="G296" t="s">
        <v>56</v>
      </c>
      <c r="H296" t="s">
        <v>1239</v>
      </c>
      <c r="I296" t="s">
        <v>1240</v>
      </c>
      <c r="J296" t="s">
        <v>1199</v>
      </c>
      <c r="K296" t="s">
        <v>120</v>
      </c>
      <c r="L296">
        <v>4.5</v>
      </c>
      <c r="M296">
        <v>11.1</v>
      </c>
      <c r="N296" t="s">
        <v>121</v>
      </c>
      <c r="O296" t="s">
        <v>1189</v>
      </c>
      <c r="P296" t="s">
        <v>1190</v>
      </c>
      <c r="Q296" t="e">
        <f>VLOOKUP(B296,Tabelle2!C:S,17,0)</f>
        <v>#N/A</v>
      </c>
    </row>
    <row r="297" spans="1:17" x14ac:dyDescent="0.3">
      <c r="A297" t="s">
        <v>112</v>
      </c>
      <c r="B297" t="s">
        <v>1241</v>
      </c>
      <c r="C297" t="s">
        <v>1242</v>
      </c>
      <c r="D297" t="s">
        <v>1242</v>
      </c>
      <c r="E297" t="s">
        <v>1243</v>
      </c>
      <c r="F297" t="s">
        <v>1238</v>
      </c>
      <c r="G297" t="s">
        <v>56</v>
      </c>
      <c r="H297" t="s">
        <v>1239</v>
      </c>
      <c r="I297" t="s">
        <v>1240</v>
      </c>
      <c r="J297" t="s">
        <v>1199</v>
      </c>
      <c r="K297" t="s">
        <v>32</v>
      </c>
      <c r="L297">
        <v>4.5</v>
      </c>
      <c r="M297">
        <v>11.1</v>
      </c>
      <c r="N297" t="s">
        <v>121</v>
      </c>
      <c r="O297" t="s">
        <v>1189</v>
      </c>
      <c r="P297" t="s">
        <v>1190</v>
      </c>
      <c r="Q297" t="e">
        <f>VLOOKUP(B297,Tabelle2!C:S,17,0)</f>
        <v>#N/A</v>
      </c>
    </row>
    <row r="298" spans="1:17" x14ac:dyDescent="0.3">
      <c r="A298" t="s">
        <v>112</v>
      </c>
      <c r="B298" t="s">
        <v>1244</v>
      </c>
      <c r="C298" t="s">
        <v>1245</v>
      </c>
      <c r="D298" t="s">
        <v>1245</v>
      </c>
      <c r="E298" t="s">
        <v>1246</v>
      </c>
      <c r="F298" t="s">
        <v>1247</v>
      </c>
      <c r="G298" t="s">
        <v>176</v>
      </c>
      <c r="H298" t="s">
        <v>671</v>
      </c>
      <c r="I298" t="s">
        <v>1248</v>
      </c>
      <c r="J298" t="s">
        <v>1249</v>
      </c>
      <c r="K298" t="s">
        <v>32</v>
      </c>
      <c r="L298">
        <v>27.8</v>
      </c>
      <c r="M298">
        <v>86.7</v>
      </c>
      <c r="N298" t="s">
        <v>1250</v>
      </c>
      <c r="O298" t="s">
        <v>1189</v>
      </c>
      <c r="P298" t="s">
        <v>1190</v>
      </c>
      <c r="Q298" t="e">
        <f>VLOOKUP(B298,Tabelle2!C:S,17,0)</f>
        <v>#N/A</v>
      </c>
    </row>
    <row r="299" spans="1:17" x14ac:dyDescent="0.3">
      <c r="A299" t="s">
        <v>112</v>
      </c>
      <c r="B299" t="s">
        <v>1251</v>
      </c>
      <c r="C299" t="s">
        <v>1252</v>
      </c>
      <c r="D299" t="s">
        <v>1252</v>
      </c>
      <c r="E299" t="s">
        <v>1253</v>
      </c>
      <c r="F299" t="s">
        <v>1247</v>
      </c>
      <c r="G299" t="s">
        <v>176</v>
      </c>
      <c r="H299" t="s">
        <v>671</v>
      </c>
      <c r="I299" t="s">
        <v>1248</v>
      </c>
      <c r="J299" t="s">
        <v>1249</v>
      </c>
      <c r="K299" t="s">
        <v>120</v>
      </c>
      <c r="L299">
        <v>27.8</v>
      </c>
      <c r="M299">
        <v>86.7</v>
      </c>
      <c r="N299" t="s">
        <v>1250</v>
      </c>
      <c r="O299" t="s">
        <v>1189</v>
      </c>
      <c r="P299" t="s">
        <v>1190</v>
      </c>
      <c r="Q299" t="e">
        <f>VLOOKUP(B299,Tabelle2!C:S,17,0)</f>
        <v>#N/A</v>
      </c>
    </row>
    <row r="300" spans="1:17" x14ac:dyDescent="0.3">
      <c r="A300" t="s">
        <v>112</v>
      </c>
      <c r="B300" t="s">
        <v>1254</v>
      </c>
      <c r="C300" t="s">
        <v>1255</v>
      </c>
      <c r="D300" t="s">
        <v>1255</v>
      </c>
      <c r="E300" t="s">
        <v>1256</v>
      </c>
      <c r="F300" t="s">
        <v>1257</v>
      </c>
      <c r="G300" t="s">
        <v>176</v>
      </c>
      <c r="H300" t="s">
        <v>1258</v>
      </c>
      <c r="I300" t="s">
        <v>1259</v>
      </c>
      <c r="J300" t="s">
        <v>1249</v>
      </c>
      <c r="K300" t="s">
        <v>120</v>
      </c>
      <c r="L300">
        <v>28.9</v>
      </c>
      <c r="M300">
        <v>84.3</v>
      </c>
      <c r="N300" t="s">
        <v>1250</v>
      </c>
      <c r="O300" t="s">
        <v>1189</v>
      </c>
      <c r="P300" t="s">
        <v>1190</v>
      </c>
      <c r="Q300" t="e">
        <f>VLOOKUP(B300,Tabelle2!C:S,17,0)</f>
        <v>#N/A</v>
      </c>
    </row>
    <row r="301" spans="1:17" x14ac:dyDescent="0.3">
      <c r="A301" t="s">
        <v>112</v>
      </c>
      <c r="B301" t="s">
        <v>1260</v>
      </c>
      <c r="C301" t="s">
        <v>1261</v>
      </c>
      <c r="D301" t="s">
        <v>1261</v>
      </c>
      <c r="E301" t="s">
        <v>1262</v>
      </c>
      <c r="F301" t="s">
        <v>1257</v>
      </c>
      <c r="G301" t="s">
        <v>176</v>
      </c>
      <c r="H301" t="s">
        <v>1258</v>
      </c>
      <c r="I301" t="s">
        <v>1263</v>
      </c>
      <c r="J301" t="s">
        <v>1249</v>
      </c>
      <c r="K301" t="s">
        <v>120</v>
      </c>
      <c r="L301">
        <v>28.9</v>
      </c>
      <c r="M301">
        <v>84.3</v>
      </c>
      <c r="N301" t="s">
        <v>1250</v>
      </c>
      <c r="O301" t="s">
        <v>1189</v>
      </c>
      <c r="P301" t="s">
        <v>1190</v>
      </c>
      <c r="Q301" t="e">
        <f>VLOOKUP(B301,Tabelle2!C:S,17,0)</f>
        <v>#N/A</v>
      </c>
    </row>
    <row r="302" spans="1:17" x14ac:dyDescent="0.3">
      <c r="A302" t="s">
        <v>112</v>
      </c>
      <c r="B302" t="s">
        <v>1264</v>
      </c>
      <c r="C302" t="s">
        <v>1265</v>
      </c>
      <c r="D302" t="s">
        <v>1265</v>
      </c>
      <c r="E302" t="s">
        <v>1266</v>
      </c>
      <c r="F302" t="s">
        <v>1267</v>
      </c>
      <c r="G302" t="s">
        <v>56</v>
      </c>
      <c r="H302" t="s">
        <v>1268</v>
      </c>
      <c r="I302" t="s">
        <v>1269</v>
      </c>
      <c r="J302" t="s">
        <v>1199</v>
      </c>
      <c r="K302" t="s">
        <v>32</v>
      </c>
      <c r="L302">
        <v>5.8</v>
      </c>
      <c r="M302">
        <v>36.5</v>
      </c>
      <c r="N302" t="s">
        <v>121</v>
      </c>
      <c r="O302" t="s">
        <v>1270</v>
      </c>
      <c r="P302" t="s">
        <v>1271</v>
      </c>
      <c r="Q302" t="e">
        <f>VLOOKUP(B302,Tabelle2!C:S,17,0)</f>
        <v>#N/A</v>
      </c>
    </row>
    <row r="303" spans="1:17" x14ac:dyDescent="0.3">
      <c r="A303" t="s">
        <v>112</v>
      </c>
      <c r="B303" t="s">
        <v>1272</v>
      </c>
      <c r="C303" t="s">
        <v>1273</v>
      </c>
      <c r="D303" t="s">
        <v>1273</v>
      </c>
      <c r="E303" t="s">
        <v>1274</v>
      </c>
      <c r="F303" t="s">
        <v>1267</v>
      </c>
      <c r="G303" t="s">
        <v>56</v>
      </c>
      <c r="H303" t="s">
        <v>1268</v>
      </c>
      <c r="I303" t="s">
        <v>1269</v>
      </c>
      <c r="J303" t="s">
        <v>1199</v>
      </c>
      <c r="K303" t="s">
        <v>120</v>
      </c>
      <c r="L303">
        <v>5.8</v>
      </c>
      <c r="M303">
        <v>36.5</v>
      </c>
      <c r="N303" t="s">
        <v>121</v>
      </c>
      <c r="O303" t="s">
        <v>1270</v>
      </c>
      <c r="P303" t="s">
        <v>1271</v>
      </c>
      <c r="Q303" t="e">
        <f>VLOOKUP(B303,Tabelle2!C:S,17,0)</f>
        <v>#N/A</v>
      </c>
    </row>
    <row r="304" spans="1:17" x14ac:dyDescent="0.3">
      <c r="A304" t="s">
        <v>112</v>
      </c>
      <c r="B304" t="s">
        <v>1275</v>
      </c>
      <c r="C304" t="s">
        <v>1276</v>
      </c>
      <c r="D304" t="s">
        <v>1276</v>
      </c>
      <c r="E304" t="s">
        <v>1277</v>
      </c>
      <c r="F304" t="s">
        <v>1278</v>
      </c>
      <c r="G304" t="s">
        <v>56</v>
      </c>
      <c r="H304" t="s">
        <v>1268</v>
      </c>
      <c r="I304" t="s">
        <v>1279</v>
      </c>
      <c r="J304" t="s">
        <v>1199</v>
      </c>
      <c r="K304" t="s">
        <v>32</v>
      </c>
      <c r="L304">
        <v>11</v>
      </c>
      <c r="M304">
        <v>36.9</v>
      </c>
      <c r="N304" t="s">
        <v>121</v>
      </c>
      <c r="O304" t="s">
        <v>1270</v>
      </c>
      <c r="P304" t="s">
        <v>1271</v>
      </c>
      <c r="Q304" t="e">
        <f>VLOOKUP(B304,Tabelle2!C:S,17,0)</f>
        <v>#N/A</v>
      </c>
    </row>
    <row r="305" spans="1:17" x14ac:dyDescent="0.3">
      <c r="A305" t="s">
        <v>112</v>
      </c>
      <c r="B305" t="s">
        <v>1280</v>
      </c>
      <c r="C305" t="s">
        <v>1281</v>
      </c>
      <c r="D305" t="s">
        <v>1281</v>
      </c>
      <c r="E305" t="s">
        <v>1282</v>
      </c>
      <c r="F305" t="s">
        <v>1278</v>
      </c>
      <c r="G305" t="s">
        <v>56</v>
      </c>
      <c r="H305" t="s">
        <v>1268</v>
      </c>
      <c r="I305" t="s">
        <v>1279</v>
      </c>
      <c r="J305" t="s">
        <v>1199</v>
      </c>
      <c r="K305" t="s">
        <v>120</v>
      </c>
      <c r="L305">
        <v>11</v>
      </c>
      <c r="M305">
        <v>36.9</v>
      </c>
      <c r="N305" t="s">
        <v>121</v>
      </c>
      <c r="O305" t="s">
        <v>1270</v>
      </c>
      <c r="P305" t="s">
        <v>1271</v>
      </c>
      <c r="Q305" t="e">
        <f>VLOOKUP(B305,Tabelle2!C:S,17,0)</f>
        <v>#N/A</v>
      </c>
    </row>
    <row r="306" spans="1:17" x14ac:dyDescent="0.3">
      <c r="A306" t="s">
        <v>112</v>
      </c>
      <c r="B306" t="s">
        <v>1283</v>
      </c>
      <c r="C306" t="s">
        <v>1284</v>
      </c>
      <c r="D306" t="s">
        <v>1284</v>
      </c>
      <c r="E306" t="s">
        <v>1285</v>
      </c>
      <c r="F306" t="s">
        <v>1286</v>
      </c>
      <c r="G306" t="s">
        <v>56</v>
      </c>
      <c r="H306" t="s">
        <v>1268</v>
      </c>
      <c r="I306" t="s">
        <v>1287</v>
      </c>
      <c r="J306" t="s">
        <v>1199</v>
      </c>
      <c r="K306" t="s">
        <v>32</v>
      </c>
      <c r="L306">
        <v>9.6999999999999993</v>
      </c>
      <c r="M306">
        <v>39.700000000000003</v>
      </c>
      <c r="N306" t="s">
        <v>121</v>
      </c>
      <c r="O306" t="s">
        <v>1270</v>
      </c>
      <c r="P306" t="s">
        <v>1271</v>
      </c>
      <c r="Q306" t="e">
        <f>VLOOKUP(B306,Tabelle2!C:S,17,0)</f>
        <v>#N/A</v>
      </c>
    </row>
    <row r="307" spans="1:17" x14ac:dyDescent="0.3">
      <c r="A307" t="s">
        <v>112</v>
      </c>
      <c r="B307" t="s">
        <v>1288</v>
      </c>
      <c r="C307" t="s">
        <v>1289</v>
      </c>
      <c r="D307" t="s">
        <v>1289</v>
      </c>
      <c r="E307" t="s">
        <v>1290</v>
      </c>
      <c r="F307" t="s">
        <v>1286</v>
      </c>
      <c r="G307" t="s">
        <v>56</v>
      </c>
      <c r="H307" t="s">
        <v>1268</v>
      </c>
      <c r="I307" t="s">
        <v>1287</v>
      </c>
      <c r="J307" t="s">
        <v>1199</v>
      </c>
      <c r="K307" t="s">
        <v>120</v>
      </c>
      <c r="L307">
        <v>9.6999999999999993</v>
      </c>
      <c r="M307">
        <v>39.700000000000003</v>
      </c>
      <c r="N307" t="s">
        <v>121</v>
      </c>
      <c r="O307" t="s">
        <v>1270</v>
      </c>
      <c r="P307" t="s">
        <v>1271</v>
      </c>
      <c r="Q307" t="e">
        <f>VLOOKUP(B307,Tabelle2!C:S,17,0)</f>
        <v>#N/A</v>
      </c>
    </row>
    <row r="308" spans="1:17" x14ac:dyDescent="0.3">
      <c r="A308" t="s">
        <v>112</v>
      </c>
      <c r="B308" t="s">
        <v>1291</v>
      </c>
      <c r="C308" t="s">
        <v>1292</v>
      </c>
      <c r="D308" t="s">
        <v>1292</v>
      </c>
      <c r="E308" t="s">
        <v>1293</v>
      </c>
      <c r="F308" t="s">
        <v>1294</v>
      </c>
      <c r="G308" t="s">
        <v>56</v>
      </c>
      <c r="H308" t="s">
        <v>1239</v>
      </c>
      <c r="I308" t="s">
        <v>1295</v>
      </c>
      <c r="J308" t="s">
        <v>1199</v>
      </c>
      <c r="K308" t="s">
        <v>32</v>
      </c>
      <c r="L308">
        <v>2.5</v>
      </c>
      <c r="M308">
        <v>12.7</v>
      </c>
      <c r="N308" t="s">
        <v>121</v>
      </c>
      <c r="O308" t="s">
        <v>1270</v>
      </c>
      <c r="P308" t="s">
        <v>1271</v>
      </c>
      <c r="Q308" t="e">
        <f>VLOOKUP(B308,Tabelle2!C:S,17,0)</f>
        <v>#N/A</v>
      </c>
    </row>
    <row r="309" spans="1:17" x14ac:dyDescent="0.3">
      <c r="A309" t="s">
        <v>112</v>
      </c>
      <c r="B309" t="s">
        <v>1296</v>
      </c>
      <c r="C309" t="s">
        <v>1297</v>
      </c>
      <c r="D309" t="s">
        <v>1297</v>
      </c>
      <c r="E309" t="s">
        <v>1298</v>
      </c>
      <c r="F309" t="s">
        <v>1294</v>
      </c>
      <c r="G309" t="s">
        <v>56</v>
      </c>
      <c r="H309" t="s">
        <v>1239</v>
      </c>
      <c r="I309" t="s">
        <v>1295</v>
      </c>
      <c r="J309" t="s">
        <v>1199</v>
      </c>
      <c r="K309" t="s">
        <v>120</v>
      </c>
      <c r="L309">
        <v>2.5</v>
      </c>
      <c r="M309">
        <v>12.7</v>
      </c>
      <c r="N309" t="s">
        <v>121</v>
      </c>
      <c r="O309" t="s">
        <v>1270</v>
      </c>
      <c r="P309" t="s">
        <v>1271</v>
      </c>
      <c r="Q309" t="e">
        <f>VLOOKUP(B309,Tabelle2!C:S,17,0)</f>
        <v>#N/A</v>
      </c>
    </row>
    <row r="310" spans="1:17" x14ac:dyDescent="0.3">
      <c r="A310" t="s">
        <v>112</v>
      </c>
      <c r="B310" t="s">
        <v>1299</v>
      </c>
      <c r="C310" t="s">
        <v>1300</v>
      </c>
      <c r="D310" t="s">
        <v>1300</v>
      </c>
      <c r="E310" t="s">
        <v>1301</v>
      </c>
      <c r="F310" t="s">
        <v>1302</v>
      </c>
      <c r="G310" t="s">
        <v>56</v>
      </c>
      <c r="H310" t="s">
        <v>1239</v>
      </c>
      <c r="I310" t="s">
        <v>1303</v>
      </c>
      <c r="J310" t="s">
        <v>1199</v>
      </c>
      <c r="K310" t="s">
        <v>32</v>
      </c>
      <c r="L310">
        <v>3.1</v>
      </c>
      <c r="M310">
        <v>10.6</v>
      </c>
      <c r="N310" t="s">
        <v>121</v>
      </c>
      <c r="O310" t="s">
        <v>1270</v>
      </c>
      <c r="P310" t="s">
        <v>1271</v>
      </c>
      <c r="Q310" t="e">
        <f>VLOOKUP(B310,Tabelle2!C:S,17,0)</f>
        <v>#N/A</v>
      </c>
    </row>
    <row r="311" spans="1:17" x14ac:dyDescent="0.3">
      <c r="A311" t="s">
        <v>112</v>
      </c>
      <c r="B311" t="s">
        <v>1304</v>
      </c>
      <c r="C311" t="s">
        <v>1305</v>
      </c>
      <c r="D311" t="s">
        <v>1305</v>
      </c>
      <c r="E311" t="s">
        <v>1306</v>
      </c>
      <c r="F311" t="s">
        <v>1302</v>
      </c>
      <c r="G311" t="s">
        <v>56</v>
      </c>
      <c r="H311" t="s">
        <v>1239</v>
      </c>
      <c r="I311" t="s">
        <v>1307</v>
      </c>
      <c r="J311" t="s">
        <v>1199</v>
      </c>
      <c r="K311" t="s">
        <v>120</v>
      </c>
      <c r="L311">
        <v>3.1</v>
      </c>
      <c r="M311">
        <v>10.6</v>
      </c>
      <c r="N311" t="s">
        <v>121</v>
      </c>
      <c r="O311" t="s">
        <v>1270</v>
      </c>
      <c r="P311" t="s">
        <v>1271</v>
      </c>
      <c r="Q311" t="e">
        <f>VLOOKUP(B311,Tabelle2!C:S,17,0)</f>
        <v>#N/A</v>
      </c>
    </row>
    <row r="312" spans="1:17" x14ac:dyDescent="0.3">
      <c r="A312" t="s">
        <v>112</v>
      </c>
      <c r="B312" t="s">
        <v>1308</v>
      </c>
      <c r="C312" t="s">
        <v>1309</v>
      </c>
      <c r="D312" t="s">
        <v>1309</v>
      </c>
      <c r="E312" t="s">
        <v>1310</v>
      </c>
      <c r="F312" t="s">
        <v>1311</v>
      </c>
      <c r="G312" t="s">
        <v>56</v>
      </c>
      <c r="H312" t="s">
        <v>1239</v>
      </c>
      <c r="I312" t="s">
        <v>1312</v>
      </c>
      <c r="J312" t="s">
        <v>1199</v>
      </c>
      <c r="K312" t="s">
        <v>32</v>
      </c>
      <c r="L312">
        <v>5.3</v>
      </c>
      <c r="M312">
        <v>11.3</v>
      </c>
      <c r="N312" t="s">
        <v>121</v>
      </c>
      <c r="O312" t="s">
        <v>1270</v>
      </c>
      <c r="P312" t="s">
        <v>1271</v>
      </c>
      <c r="Q312" t="e">
        <f>VLOOKUP(B312,Tabelle2!C:S,17,0)</f>
        <v>#N/A</v>
      </c>
    </row>
    <row r="313" spans="1:17" x14ac:dyDescent="0.3">
      <c r="A313" t="s">
        <v>112</v>
      </c>
      <c r="B313" t="s">
        <v>1313</v>
      </c>
      <c r="C313" t="s">
        <v>1314</v>
      </c>
      <c r="D313" t="s">
        <v>1314</v>
      </c>
      <c r="E313" t="s">
        <v>1315</v>
      </c>
      <c r="F313" t="s">
        <v>1311</v>
      </c>
      <c r="G313" t="s">
        <v>56</v>
      </c>
      <c r="H313" t="s">
        <v>1239</v>
      </c>
      <c r="I313" t="s">
        <v>1312</v>
      </c>
      <c r="J313" t="s">
        <v>1199</v>
      </c>
      <c r="K313" t="s">
        <v>120</v>
      </c>
      <c r="L313">
        <v>5.3</v>
      </c>
      <c r="M313">
        <v>11.3</v>
      </c>
      <c r="N313" t="s">
        <v>121</v>
      </c>
      <c r="O313" t="s">
        <v>1270</v>
      </c>
      <c r="P313" t="s">
        <v>1271</v>
      </c>
      <c r="Q313" t="e">
        <f>VLOOKUP(B313,Tabelle2!C:S,17,0)</f>
        <v>#N/A</v>
      </c>
    </row>
    <row r="314" spans="1:17" x14ac:dyDescent="0.3">
      <c r="A314" t="s">
        <v>112</v>
      </c>
      <c r="B314" t="s">
        <v>1316</v>
      </c>
      <c r="C314" t="s">
        <v>1317</v>
      </c>
      <c r="D314" t="s">
        <v>1317</v>
      </c>
      <c r="E314" t="s">
        <v>1318</v>
      </c>
      <c r="F314" t="s">
        <v>1319</v>
      </c>
      <c r="G314" t="s">
        <v>56</v>
      </c>
      <c r="H314" t="s">
        <v>1320</v>
      </c>
      <c r="I314" t="s">
        <v>1321</v>
      </c>
      <c r="J314" t="s">
        <v>1199</v>
      </c>
      <c r="K314" t="s">
        <v>32</v>
      </c>
      <c r="L314">
        <v>12.9</v>
      </c>
      <c r="M314">
        <v>17.399999999999999</v>
      </c>
      <c r="N314" t="s">
        <v>121</v>
      </c>
      <c r="O314" t="s">
        <v>1270</v>
      </c>
      <c r="P314" t="s">
        <v>1271</v>
      </c>
      <c r="Q314" t="e">
        <f>VLOOKUP(B314,Tabelle2!C:S,17,0)</f>
        <v>#N/A</v>
      </c>
    </row>
    <row r="315" spans="1:17" x14ac:dyDescent="0.3">
      <c r="A315" t="s">
        <v>112</v>
      </c>
      <c r="B315" t="s">
        <v>1322</v>
      </c>
      <c r="C315" t="s">
        <v>1323</v>
      </c>
      <c r="D315" t="s">
        <v>1323</v>
      </c>
      <c r="E315" t="s">
        <v>1324</v>
      </c>
      <c r="F315" t="s">
        <v>1319</v>
      </c>
      <c r="G315" t="s">
        <v>56</v>
      </c>
      <c r="H315" t="s">
        <v>1320</v>
      </c>
      <c r="I315" t="s">
        <v>1321</v>
      </c>
      <c r="J315" t="s">
        <v>1199</v>
      </c>
      <c r="K315" t="s">
        <v>120</v>
      </c>
      <c r="L315">
        <v>12.9</v>
      </c>
      <c r="M315">
        <v>17.399999999999999</v>
      </c>
      <c r="N315" t="s">
        <v>121</v>
      </c>
      <c r="O315" t="s">
        <v>1270</v>
      </c>
      <c r="P315" t="s">
        <v>1271</v>
      </c>
      <c r="Q315" t="e">
        <f>VLOOKUP(B315,Tabelle2!C:S,17,0)</f>
        <v>#N/A</v>
      </c>
    </row>
    <row r="316" spans="1:17" x14ac:dyDescent="0.3">
      <c r="A316" t="s">
        <v>112</v>
      </c>
      <c r="B316" t="s">
        <v>1325</v>
      </c>
      <c r="C316" t="s">
        <v>1326</v>
      </c>
      <c r="D316" t="s">
        <v>1326</v>
      </c>
      <c r="E316" t="s">
        <v>1327</v>
      </c>
      <c r="F316" t="s">
        <v>1328</v>
      </c>
      <c r="G316" t="s">
        <v>56</v>
      </c>
      <c r="H316" t="s">
        <v>207</v>
      </c>
      <c r="I316" t="s">
        <v>1329</v>
      </c>
      <c r="J316" t="s">
        <v>1199</v>
      </c>
      <c r="K316" t="s">
        <v>32</v>
      </c>
      <c r="L316">
        <v>3</v>
      </c>
      <c r="M316">
        <v>36.9</v>
      </c>
      <c r="N316" t="s">
        <v>121</v>
      </c>
      <c r="O316" t="s">
        <v>1270</v>
      </c>
      <c r="P316" t="s">
        <v>1271</v>
      </c>
      <c r="Q316" t="e">
        <f>VLOOKUP(B316,Tabelle2!C:S,17,0)</f>
        <v>#N/A</v>
      </c>
    </row>
    <row r="317" spans="1:17" x14ac:dyDescent="0.3">
      <c r="A317" t="s">
        <v>112</v>
      </c>
      <c r="B317" t="s">
        <v>1330</v>
      </c>
      <c r="C317" t="s">
        <v>1331</v>
      </c>
      <c r="D317" t="s">
        <v>1331</v>
      </c>
      <c r="E317" t="s">
        <v>1332</v>
      </c>
      <c r="F317" t="s">
        <v>1328</v>
      </c>
      <c r="G317" t="s">
        <v>56</v>
      </c>
      <c r="H317" t="s">
        <v>207</v>
      </c>
      <c r="I317" t="s">
        <v>1329</v>
      </c>
      <c r="J317" t="s">
        <v>1199</v>
      </c>
      <c r="K317" t="s">
        <v>32</v>
      </c>
      <c r="L317">
        <v>3</v>
      </c>
      <c r="M317">
        <v>36.9</v>
      </c>
      <c r="N317" t="s">
        <v>121</v>
      </c>
      <c r="O317" t="s">
        <v>1270</v>
      </c>
      <c r="P317" t="s">
        <v>1271</v>
      </c>
      <c r="Q317" t="e">
        <f>VLOOKUP(B317,Tabelle2!C:S,17,0)</f>
        <v>#N/A</v>
      </c>
    </row>
    <row r="318" spans="1:17" x14ac:dyDescent="0.3">
      <c r="A318" t="s">
        <v>112</v>
      </c>
      <c r="B318" t="s">
        <v>1333</v>
      </c>
      <c r="C318" t="s">
        <v>1334</v>
      </c>
      <c r="D318" t="s">
        <v>1334</v>
      </c>
      <c r="E318" t="s">
        <v>1335</v>
      </c>
      <c r="F318" t="s">
        <v>1336</v>
      </c>
      <c r="G318" t="s">
        <v>56</v>
      </c>
      <c r="H318" t="s">
        <v>1239</v>
      </c>
      <c r="I318" t="s">
        <v>1337</v>
      </c>
      <c r="J318" t="s">
        <v>1199</v>
      </c>
      <c r="K318" t="s">
        <v>120</v>
      </c>
      <c r="L318">
        <v>11.1</v>
      </c>
      <c r="M318">
        <v>14.1</v>
      </c>
      <c r="N318" t="s">
        <v>121</v>
      </c>
      <c r="O318" t="s">
        <v>1270</v>
      </c>
      <c r="P318" t="s">
        <v>1271</v>
      </c>
      <c r="Q318" t="e">
        <f>VLOOKUP(B318,Tabelle2!C:S,17,0)</f>
        <v>#N/A</v>
      </c>
    </row>
    <row r="319" spans="1:17" x14ac:dyDescent="0.3">
      <c r="A319" t="s">
        <v>112</v>
      </c>
      <c r="B319" t="s">
        <v>1338</v>
      </c>
      <c r="C319" t="s">
        <v>1339</v>
      </c>
      <c r="D319" t="s">
        <v>1339</v>
      </c>
      <c r="E319" t="s">
        <v>1340</v>
      </c>
      <c r="F319" t="s">
        <v>1336</v>
      </c>
      <c r="G319" t="s">
        <v>56</v>
      </c>
      <c r="H319" t="s">
        <v>1239</v>
      </c>
      <c r="I319" t="s">
        <v>1337</v>
      </c>
      <c r="J319" t="s">
        <v>1199</v>
      </c>
      <c r="K319" t="s">
        <v>32</v>
      </c>
      <c r="L319">
        <v>11.1</v>
      </c>
      <c r="M319">
        <v>14.1</v>
      </c>
      <c r="N319" t="s">
        <v>121</v>
      </c>
      <c r="O319" t="s">
        <v>1270</v>
      </c>
      <c r="P319" t="s">
        <v>1271</v>
      </c>
      <c r="Q319" t="e">
        <f>VLOOKUP(B319,Tabelle2!C:S,17,0)</f>
        <v>#N/A</v>
      </c>
    </row>
    <row r="320" spans="1:17" x14ac:dyDescent="0.3">
      <c r="A320" t="s">
        <v>112</v>
      </c>
      <c r="B320" t="s">
        <v>1341</v>
      </c>
      <c r="C320" t="s">
        <v>1342</v>
      </c>
      <c r="D320" t="s">
        <v>1342</v>
      </c>
      <c r="E320" t="s">
        <v>1343</v>
      </c>
      <c r="F320" t="s">
        <v>1344</v>
      </c>
      <c r="G320" t="s">
        <v>56</v>
      </c>
      <c r="H320" t="s">
        <v>1345</v>
      </c>
      <c r="I320" t="s">
        <v>1346</v>
      </c>
      <c r="J320" t="s">
        <v>1199</v>
      </c>
      <c r="K320" t="s">
        <v>120</v>
      </c>
      <c r="L320">
        <v>-3.8</v>
      </c>
      <c r="M320">
        <v>35.299999999999997</v>
      </c>
      <c r="N320" t="s">
        <v>121</v>
      </c>
      <c r="O320" t="s">
        <v>1270</v>
      </c>
      <c r="P320" t="s">
        <v>1271</v>
      </c>
      <c r="Q320" t="e">
        <f>VLOOKUP(B320,Tabelle2!C:S,17,0)</f>
        <v>#N/A</v>
      </c>
    </row>
    <row r="321" spans="1:17" x14ac:dyDescent="0.3">
      <c r="A321" t="s">
        <v>112</v>
      </c>
      <c r="B321" t="s">
        <v>1347</v>
      </c>
      <c r="C321" t="s">
        <v>1348</v>
      </c>
      <c r="D321" t="s">
        <v>1348</v>
      </c>
      <c r="E321" t="s">
        <v>1349</v>
      </c>
      <c r="F321" t="s">
        <v>1344</v>
      </c>
      <c r="G321" t="s">
        <v>56</v>
      </c>
      <c r="H321" t="s">
        <v>1345</v>
      </c>
      <c r="I321" t="s">
        <v>1350</v>
      </c>
      <c r="J321" t="s">
        <v>1199</v>
      </c>
      <c r="K321" t="s">
        <v>120</v>
      </c>
      <c r="L321">
        <v>-3.8</v>
      </c>
      <c r="M321">
        <v>35.299999999999997</v>
      </c>
      <c r="N321" t="s">
        <v>121</v>
      </c>
      <c r="O321" t="s">
        <v>1270</v>
      </c>
      <c r="P321" t="s">
        <v>1271</v>
      </c>
      <c r="Q321" t="e">
        <f>VLOOKUP(B321,Tabelle2!C:S,17,0)</f>
        <v>#N/A</v>
      </c>
    </row>
    <row r="322" spans="1:17" x14ac:dyDescent="0.3">
      <c r="A322" t="s">
        <v>112</v>
      </c>
      <c r="B322" t="s">
        <v>1351</v>
      </c>
      <c r="C322" t="s">
        <v>1352</v>
      </c>
      <c r="D322" t="s">
        <v>1352</v>
      </c>
      <c r="E322" t="s">
        <v>1353</v>
      </c>
      <c r="F322" t="s">
        <v>1354</v>
      </c>
      <c r="G322" t="s">
        <v>56</v>
      </c>
      <c r="H322" t="s">
        <v>1345</v>
      </c>
      <c r="I322" t="s">
        <v>1355</v>
      </c>
      <c r="J322" t="s">
        <v>1199</v>
      </c>
      <c r="K322" t="s">
        <v>120</v>
      </c>
      <c r="L322">
        <v>-3.7</v>
      </c>
      <c r="M322">
        <v>35.5</v>
      </c>
      <c r="N322" t="s">
        <v>121</v>
      </c>
      <c r="O322" t="s">
        <v>1270</v>
      </c>
      <c r="P322" t="s">
        <v>1271</v>
      </c>
      <c r="Q322" t="e">
        <f>VLOOKUP(B322,Tabelle2!C:S,17,0)</f>
        <v>#N/A</v>
      </c>
    </row>
    <row r="323" spans="1:17" x14ac:dyDescent="0.3">
      <c r="A323" t="s">
        <v>112</v>
      </c>
      <c r="B323" t="s">
        <v>1356</v>
      </c>
      <c r="C323" t="s">
        <v>1357</v>
      </c>
      <c r="D323" t="s">
        <v>1357</v>
      </c>
      <c r="E323" t="s">
        <v>1358</v>
      </c>
      <c r="F323" t="s">
        <v>1354</v>
      </c>
      <c r="G323" t="s">
        <v>56</v>
      </c>
      <c r="H323" t="s">
        <v>1345</v>
      </c>
      <c r="I323" t="s">
        <v>1359</v>
      </c>
      <c r="J323" t="s">
        <v>1199</v>
      </c>
      <c r="K323" t="s">
        <v>32</v>
      </c>
      <c r="L323">
        <v>-3.7</v>
      </c>
      <c r="M323">
        <v>35.5</v>
      </c>
      <c r="N323" t="s">
        <v>121</v>
      </c>
      <c r="O323" t="s">
        <v>1270</v>
      </c>
      <c r="P323" t="s">
        <v>1271</v>
      </c>
      <c r="Q323" t="e">
        <f>VLOOKUP(B323,Tabelle2!C:S,17,0)</f>
        <v>#N/A</v>
      </c>
    </row>
    <row r="324" spans="1:17" x14ac:dyDescent="0.3">
      <c r="A324" t="s">
        <v>112</v>
      </c>
      <c r="B324" t="s">
        <v>1360</v>
      </c>
      <c r="C324" t="s">
        <v>1361</v>
      </c>
      <c r="D324" t="s">
        <v>1361</v>
      </c>
      <c r="E324" t="s">
        <v>1362</v>
      </c>
      <c r="F324" t="s">
        <v>1363</v>
      </c>
      <c r="G324" t="s">
        <v>56</v>
      </c>
      <c r="H324" t="s">
        <v>1364</v>
      </c>
      <c r="I324" t="s">
        <v>1365</v>
      </c>
      <c r="J324" t="s">
        <v>1199</v>
      </c>
      <c r="K324" t="s">
        <v>32</v>
      </c>
      <c r="L324">
        <v>7.2</v>
      </c>
      <c r="M324">
        <v>16.399999999999999</v>
      </c>
      <c r="N324" t="s">
        <v>121</v>
      </c>
      <c r="O324" t="s">
        <v>1270</v>
      </c>
      <c r="P324" t="s">
        <v>1271</v>
      </c>
      <c r="Q324" t="e">
        <f>VLOOKUP(B324,Tabelle2!C:S,17,0)</f>
        <v>#N/A</v>
      </c>
    </row>
    <row r="325" spans="1:17" x14ac:dyDescent="0.3">
      <c r="A325" t="s">
        <v>112</v>
      </c>
      <c r="B325" t="s">
        <v>1366</v>
      </c>
      <c r="C325" t="s">
        <v>1367</v>
      </c>
      <c r="D325" t="s">
        <v>1367</v>
      </c>
      <c r="E325" t="s">
        <v>1368</v>
      </c>
      <c r="F325" t="s">
        <v>1363</v>
      </c>
      <c r="G325" t="s">
        <v>56</v>
      </c>
      <c r="H325" t="s">
        <v>1364</v>
      </c>
      <c r="I325" t="s">
        <v>1365</v>
      </c>
      <c r="J325" t="s">
        <v>1199</v>
      </c>
      <c r="K325" t="s">
        <v>120</v>
      </c>
      <c r="L325">
        <v>7.2</v>
      </c>
      <c r="M325">
        <v>16.399999999999999</v>
      </c>
      <c r="N325" t="s">
        <v>121</v>
      </c>
      <c r="O325" t="s">
        <v>1270</v>
      </c>
      <c r="P325" t="s">
        <v>1271</v>
      </c>
      <c r="Q325" t="e">
        <f>VLOOKUP(B325,Tabelle2!C:S,17,0)</f>
        <v>#N/A</v>
      </c>
    </row>
    <row r="326" spans="1:17" x14ac:dyDescent="0.3">
      <c r="A326" t="s">
        <v>112</v>
      </c>
      <c r="B326" t="s">
        <v>1369</v>
      </c>
      <c r="C326" t="s">
        <v>1370</v>
      </c>
      <c r="D326" t="s">
        <v>1370</v>
      </c>
      <c r="E326" t="s">
        <v>1371</v>
      </c>
      <c r="F326" t="s">
        <v>1372</v>
      </c>
      <c r="G326" t="s">
        <v>56</v>
      </c>
      <c r="H326" t="s">
        <v>207</v>
      </c>
      <c r="I326" t="s">
        <v>1373</v>
      </c>
      <c r="J326" t="s">
        <v>1199</v>
      </c>
      <c r="K326" t="s">
        <v>120</v>
      </c>
      <c r="L326">
        <v>0.4</v>
      </c>
      <c r="M326">
        <v>35.6</v>
      </c>
      <c r="N326" t="s">
        <v>121</v>
      </c>
      <c r="O326" t="s">
        <v>1270</v>
      </c>
      <c r="P326" t="s">
        <v>1271</v>
      </c>
      <c r="Q326" t="e">
        <f>VLOOKUP(B326,Tabelle2!C:S,17,0)</f>
        <v>#N/A</v>
      </c>
    </row>
    <row r="327" spans="1:17" x14ac:dyDescent="0.3">
      <c r="A327" t="s">
        <v>112</v>
      </c>
      <c r="B327" t="s">
        <v>1374</v>
      </c>
      <c r="C327" t="s">
        <v>1375</v>
      </c>
      <c r="D327" t="s">
        <v>1375</v>
      </c>
      <c r="E327" t="s">
        <v>1376</v>
      </c>
      <c r="F327" t="s">
        <v>1372</v>
      </c>
      <c r="G327" t="s">
        <v>56</v>
      </c>
      <c r="H327" t="s">
        <v>207</v>
      </c>
      <c r="I327" t="s">
        <v>1377</v>
      </c>
      <c r="J327" t="s">
        <v>1199</v>
      </c>
      <c r="K327" t="s">
        <v>32</v>
      </c>
      <c r="L327">
        <v>0.4</v>
      </c>
      <c r="M327">
        <v>35.6</v>
      </c>
      <c r="N327" t="s">
        <v>121</v>
      </c>
      <c r="O327" t="s">
        <v>1270</v>
      </c>
      <c r="P327" t="s">
        <v>1271</v>
      </c>
      <c r="Q327" t="e">
        <f>VLOOKUP(B327,Tabelle2!C:S,17,0)</f>
        <v>#N/A</v>
      </c>
    </row>
    <row r="328" spans="1:17" x14ac:dyDescent="0.3">
      <c r="A328" t="s">
        <v>112</v>
      </c>
      <c r="B328" t="s">
        <v>1378</v>
      </c>
      <c r="C328" t="s">
        <v>1379</v>
      </c>
      <c r="D328" t="s">
        <v>1379</v>
      </c>
      <c r="E328" t="s">
        <v>1380</v>
      </c>
      <c r="F328" t="s">
        <v>1381</v>
      </c>
      <c r="G328" t="s">
        <v>56</v>
      </c>
      <c r="H328" t="s">
        <v>1320</v>
      </c>
      <c r="I328" t="s">
        <v>1382</v>
      </c>
      <c r="J328" t="s">
        <v>1199</v>
      </c>
      <c r="K328" t="s">
        <v>32</v>
      </c>
      <c r="L328">
        <v>8.3000000000000007</v>
      </c>
      <c r="M328">
        <v>16.2</v>
      </c>
      <c r="N328" t="s">
        <v>121</v>
      </c>
      <c r="O328" t="s">
        <v>1270</v>
      </c>
      <c r="P328" t="s">
        <v>1271</v>
      </c>
      <c r="Q328" t="e">
        <f>VLOOKUP(B328,Tabelle2!C:S,17,0)</f>
        <v>#N/A</v>
      </c>
    </row>
    <row r="329" spans="1:17" x14ac:dyDescent="0.3">
      <c r="A329" t="s">
        <v>112</v>
      </c>
      <c r="B329" t="s">
        <v>1383</v>
      </c>
      <c r="C329" t="s">
        <v>1384</v>
      </c>
      <c r="D329" t="s">
        <v>1384</v>
      </c>
      <c r="E329" t="s">
        <v>1385</v>
      </c>
      <c r="F329" t="s">
        <v>1381</v>
      </c>
      <c r="G329" t="s">
        <v>56</v>
      </c>
      <c r="H329" t="s">
        <v>1320</v>
      </c>
      <c r="I329" t="s">
        <v>1382</v>
      </c>
      <c r="J329" t="s">
        <v>1199</v>
      </c>
      <c r="K329" t="s">
        <v>120</v>
      </c>
      <c r="L329">
        <v>8.3000000000000007</v>
      </c>
      <c r="M329">
        <v>16.2</v>
      </c>
      <c r="N329" t="s">
        <v>121</v>
      </c>
      <c r="O329" t="s">
        <v>1270</v>
      </c>
      <c r="P329" t="s">
        <v>1271</v>
      </c>
      <c r="Q329" t="e">
        <f>VLOOKUP(B329,Tabelle2!C:S,17,0)</f>
        <v>#N/A</v>
      </c>
    </row>
    <row r="330" spans="1:17" x14ac:dyDescent="0.3">
      <c r="A330" t="s">
        <v>112</v>
      </c>
      <c r="B330" t="s">
        <v>1386</v>
      </c>
      <c r="C330" t="s">
        <v>1387</v>
      </c>
      <c r="D330" t="s">
        <v>1387</v>
      </c>
      <c r="E330" t="s">
        <v>1388</v>
      </c>
      <c r="F330" t="s">
        <v>1389</v>
      </c>
      <c r="G330" t="s">
        <v>56</v>
      </c>
      <c r="H330" t="s">
        <v>1239</v>
      </c>
      <c r="I330" t="s">
        <v>1390</v>
      </c>
      <c r="J330" t="s">
        <v>1199</v>
      </c>
      <c r="K330" t="s">
        <v>120</v>
      </c>
      <c r="L330">
        <v>10.8</v>
      </c>
      <c r="M330">
        <v>14.2</v>
      </c>
      <c r="N330" t="s">
        <v>121</v>
      </c>
      <c r="O330" t="s">
        <v>1270</v>
      </c>
      <c r="P330" t="s">
        <v>1271</v>
      </c>
      <c r="Q330" t="e">
        <f>VLOOKUP(B330,Tabelle2!C:S,17,0)</f>
        <v>#N/A</v>
      </c>
    </row>
    <row r="331" spans="1:17" x14ac:dyDescent="0.3">
      <c r="A331" t="s">
        <v>112</v>
      </c>
      <c r="B331" t="s">
        <v>1391</v>
      </c>
      <c r="C331" t="s">
        <v>1392</v>
      </c>
      <c r="D331" t="s">
        <v>1392</v>
      </c>
      <c r="E331" t="s">
        <v>1393</v>
      </c>
      <c r="F331" t="s">
        <v>1389</v>
      </c>
      <c r="G331" t="s">
        <v>56</v>
      </c>
      <c r="H331" t="s">
        <v>1239</v>
      </c>
      <c r="I331" t="s">
        <v>1390</v>
      </c>
      <c r="J331" t="s">
        <v>1199</v>
      </c>
      <c r="K331" t="s">
        <v>32</v>
      </c>
      <c r="L331">
        <v>10.8</v>
      </c>
      <c r="M331">
        <v>14.2</v>
      </c>
      <c r="N331" t="s">
        <v>121</v>
      </c>
      <c r="O331" t="s">
        <v>1270</v>
      </c>
      <c r="P331" t="s">
        <v>1271</v>
      </c>
      <c r="Q331" t="e">
        <f>VLOOKUP(B331,Tabelle2!C:S,17,0)</f>
        <v>#N/A</v>
      </c>
    </row>
    <row r="332" spans="1:17" x14ac:dyDescent="0.3">
      <c r="A332" t="s">
        <v>112</v>
      </c>
      <c r="B332" t="s">
        <v>1394</v>
      </c>
      <c r="C332" t="s">
        <v>1395</v>
      </c>
      <c r="D332" t="s">
        <v>1395</v>
      </c>
      <c r="E332" t="s">
        <v>1396</v>
      </c>
      <c r="F332" t="s">
        <v>1397</v>
      </c>
      <c r="G332" t="s">
        <v>56</v>
      </c>
      <c r="H332" t="s">
        <v>1268</v>
      </c>
      <c r="I332" t="s">
        <v>1398</v>
      </c>
      <c r="J332" t="s">
        <v>1199</v>
      </c>
      <c r="K332" t="s">
        <v>32</v>
      </c>
      <c r="L332">
        <v>5.9</v>
      </c>
      <c r="M332">
        <v>36.200000000000003</v>
      </c>
      <c r="N332" t="s">
        <v>121</v>
      </c>
      <c r="O332" t="s">
        <v>1270</v>
      </c>
      <c r="P332" t="s">
        <v>1271</v>
      </c>
      <c r="Q332" t="e">
        <f>VLOOKUP(B332,Tabelle2!C:S,17,0)</f>
        <v>#N/A</v>
      </c>
    </row>
    <row r="333" spans="1:17" x14ac:dyDescent="0.3">
      <c r="A333" t="s">
        <v>112</v>
      </c>
      <c r="B333" t="s">
        <v>1399</v>
      </c>
      <c r="C333" t="s">
        <v>1400</v>
      </c>
      <c r="D333" t="s">
        <v>1400</v>
      </c>
      <c r="E333" t="s">
        <v>1401</v>
      </c>
      <c r="F333" t="s">
        <v>1397</v>
      </c>
      <c r="G333" t="s">
        <v>56</v>
      </c>
      <c r="H333" t="s">
        <v>1268</v>
      </c>
      <c r="I333" t="s">
        <v>1398</v>
      </c>
      <c r="J333" t="s">
        <v>1199</v>
      </c>
      <c r="K333" t="s">
        <v>120</v>
      </c>
      <c r="L333">
        <v>5.9</v>
      </c>
      <c r="M333">
        <v>36.200000000000003</v>
      </c>
      <c r="N333" t="s">
        <v>121</v>
      </c>
      <c r="O333" t="s">
        <v>1270</v>
      </c>
      <c r="P333" t="s">
        <v>1271</v>
      </c>
      <c r="Q333" t="e">
        <f>VLOOKUP(B333,Tabelle2!C:S,17,0)</f>
        <v>#N/A</v>
      </c>
    </row>
    <row r="334" spans="1:17" x14ac:dyDescent="0.3">
      <c r="A334" t="s">
        <v>112</v>
      </c>
      <c r="B334" t="s">
        <v>1402</v>
      </c>
      <c r="C334" t="s">
        <v>1403</v>
      </c>
      <c r="D334" t="s">
        <v>1403</v>
      </c>
      <c r="E334" t="s">
        <v>1404</v>
      </c>
      <c r="F334" t="s">
        <v>1405</v>
      </c>
      <c r="G334" t="s">
        <v>56</v>
      </c>
      <c r="H334" t="s">
        <v>1239</v>
      </c>
      <c r="I334" t="s">
        <v>1406</v>
      </c>
      <c r="J334" t="s">
        <v>1199</v>
      </c>
      <c r="K334" t="s">
        <v>32</v>
      </c>
      <c r="L334">
        <v>3</v>
      </c>
      <c r="M334">
        <v>10.5</v>
      </c>
      <c r="N334" t="s">
        <v>121</v>
      </c>
      <c r="O334" t="s">
        <v>1270</v>
      </c>
      <c r="P334" t="s">
        <v>1271</v>
      </c>
      <c r="Q334" t="e">
        <f>VLOOKUP(B334,Tabelle2!C:S,17,0)</f>
        <v>#N/A</v>
      </c>
    </row>
    <row r="335" spans="1:17" x14ac:dyDescent="0.3">
      <c r="A335" t="s">
        <v>112</v>
      </c>
      <c r="B335" t="s">
        <v>1407</v>
      </c>
      <c r="C335" t="s">
        <v>1408</v>
      </c>
      <c r="D335" t="s">
        <v>1408</v>
      </c>
      <c r="E335" t="s">
        <v>1409</v>
      </c>
      <c r="F335" t="s">
        <v>1405</v>
      </c>
      <c r="G335" t="s">
        <v>56</v>
      </c>
      <c r="H335" t="s">
        <v>1239</v>
      </c>
      <c r="I335" t="s">
        <v>1406</v>
      </c>
      <c r="J335" t="s">
        <v>1199</v>
      </c>
      <c r="K335" t="s">
        <v>32</v>
      </c>
      <c r="L335">
        <v>3</v>
      </c>
      <c r="M335">
        <v>10.5</v>
      </c>
      <c r="N335" t="s">
        <v>121</v>
      </c>
      <c r="O335" t="s">
        <v>1270</v>
      </c>
      <c r="P335" t="s">
        <v>1271</v>
      </c>
      <c r="Q335" t="e">
        <f>VLOOKUP(B335,Tabelle2!C:S,17,0)</f>
        <v>#N/A</v>
      </c>
    </row>
    <row r="336" spans="1:17" x14ac:dyDescent="0.3">
      <c r="A336" t="s">
        <v>112</v>
      </c>
      <c r="B336" t="s">
        <v>1410</v>
      </c>
      <c r="C336" t="s">
        <v>1411</v>
      </c>
      <c r="D336" t="s">
        <v>1411</v>
      </c>
      <c r="E336" t="s">
        <v>1412</v>
      </c>
      <c r="F336" t="s">
        <v>1413</v>
      </c>
      <c r="G336" t="s">
        <v>56</v>
      </c>
      <c r="H336" t="s">
        <v>207</v>
      </c>
      <c r="I336" t="s">
        <v>1377</v>
      </c>
      <c r="J336" t="s">
        <v>1199</v>
      </c>
      <c r="K336" t="s">
        <v>120</v>
      </c>
      <c r="L336">
        <v>-0.4</v>
      </c>
      <c r="M336">
        <v>35.9</v>
      </c>
      <c r="N336" t="s">
        <v>121</v>
      </c>
      <c r="O336" t="s">
        <v>1270</v>
      </c>
      <c r="P336" t="s">
        <v>1271</v>
      </c>
      <c r="Q336" t="e">
        <f>VLOOKUP(B336,Tabelle2!C:S,17,0)</f>
        <v>#N/A</v>
      </c>
    </row>
    <row r="337" spans="1:17" x14ac:dyDescent="0.3">
      <c r="A337" t="s">
        <v>112</v>
      </c>
      <c r="B337" t="s">
        <v>1414</v>
      </c>
      <c r="C337" t="s">
        <v>1415</v>
      </c>
      <c r="D337" t="s">
        <v>1415</v>
      </c>
      <c r="E337" t="s">
        <v>1416</v>
      </c>
      <c r="F337" t="s">
        <v>1413</v>
      </c>
      <c r="G337" t="s">
        <v>56</v>
      </c>
      <c r="H337" t="s">
        <v>207</v>
      </c>
      <c r="I337" t="s">
        <v>1377</v>
      </c>
      <c r="J337" t="s">
        <v>1199</v>
      </c>
      <c r="K337" t="s">
        <v>32</v>
      </c>
      <c r="L337">
        <v>-0.4</v>
      </c>
      <c r="M337">
        <v>35.9</v>
      </c>
      <c r="N337" t="s">
        <v>121</v>
      </c>
      <c r="O337" t="s">
        <v>1270</v>
      </c>
      <c r="P337" t="s">
        <v>1271</v>
      </c>
      <c r="Q337" t="e">
        <f>VLOOKUP(B337,Tabelle2!C:S,17,0)</f>
        <v>#N/A</v>
      </c>
    </row>
    <row r="338" spans="1:17" x14ac:dyDescent="0.3">
      <c r="A338" t="s">
        <v>112</v>
      </c>
      <c r="B338" t="s">
        <v>1417</v>
      </c>
      <c r="C338" t="s">
        <v>1418</v>
      </c>
      <c r="D338" t="s">
        <v>1418</v>
      </c>
      <c r="E338" t="s">
        <v>1419</v>
      </c>
      <c r="F338" t="s">
        <v>1420</v>
      </c>
      <c r="G338" t="s">
        <v>56</v>
      </c>
      <c r="H338" t="s">
        <v>207</v>
      </c>
      <c r="I338" t="s">
        <v>1421</v>
      </c>
      <c r="J338" t="s">
        <v>1199</v>
      </c>
      <c r="K338" t="s">
        <v>32</v>
      </c>
      <c r="L338">
        <v>2.6</v>
      </c>
      <c r="M338">
        <v>37.700000000000003</v>
      </c>
      <c r="N338" t="s">
        <v>121</v>
      </c>
      <c r="O338" t="s">
        <v>1270</v>
      </c>
      <c r="P338" t="s">
        <v>1271</v>
      </c>
      <c r="Q338" t="e">
        <f>VLOOKUP(B338,Tabelle2!C:S,17,0)</f>
        <v>#N/A</v>
      </c>
    </row>
    <row r="339" spans="1:17" x14ac:dyDescent="0.3">
      <c r="A339" t="s">
        <v>112</v>
      </c>
      <c r="B339" t="s">
        <v>1422</v>
      </c>
      <c r="C339" t="s">
        <v>1423</v>
      </c>
      <c r="D339" t="s">
        <v>1423</v>
      </c>
      <c r="E339" t="s">
        <v>1424</v>
      </c>
      <c r="F339" t="s">
        <v>1420</v>
      </c>
      <c r="G339" t="s">
        <v>56</v>
      </c>
      <c r="H339" t="s">
        <v>207</v>
      </c>
      <c r="I339" t="s">
        <v>1421</v>
      </c>
      <c r="J339" t="s">
        <v>1199</v>
      </c>
      <c r="K339" t="s">
        <v>120</v>
      </c>
      <c r="L339">
        <v>2.6</v>
      </c>
      <c r="M339">
        <v>37.700000000000003</v>
      </c>
      <c r="N339" t="s">
        <v>121</v>
      </c>
      <c r="O339" t="s">
        <v>1270</v>
      </c>
      <c r="P339" t="s">
        <v>1271</v>
      </c>
      <c r="Q339" t="e">
        <f>VLOOKUP(B339,Tabelle2!C:S,17,0)</f>
        <v>#N/A</v>
      </c>
    </row>
    <row r="340" spans="1:17" x14ac:dyDescent="0.3">
      <c r="A340" t="s">
        <v>112</v>
      </c>
      <c r="B340" t="s">
        <v>1425</v>
      </c>
      <c r="C340" t="s">
        <v>1426</v>
      </c>
      <c r="D340" t="s">
        <v>1427</v>
      </c>
      <c r="E340" t="s">
        <v>1428</v>
      </c>
      <c r="F340" t="s">
        <v>1429</v>
      </c>
      <c r="G340" t="s">
        <v>56</v>
      </c>
      <c r="H340" t="s">
        <v>1345</v>
      </c>
      <c r="I340" t="s">
        <v>1430</v>
      </c>
      <c r="J340" t="s">
        <v>1199</v>
      </c>
      <c r="K340" t="s">
        <v>32</v>
      </c>
      <c r="L340">
        <v>-5.5</v>
      </c>
      <c r="M340">
        <v>35.5</v>
      </c>
      <c r="N340" t="s">
        <v>121</v>
      </c>
      <c r="O340" t="s">
        <v>1270</v>
      </c>
      <c r="P340" t="s">
        <v>1271</v>
      </c>
      <c r="Q340" t="e">
        <f>VLOOKUP(B340,Tabelle2!C:S,17,0)</f>
        <v>#N/A</v>
      </c>
    </row>
    <row r="341" spans="1:17" x14ac:dyDescent="0.3">
      <c r="A341" t="s">
        <v>112</v>
      </c>
      <c r="B341" t="s">
        <v>1431</v>
      </c>
      <c r="C341" t="s">
        <v>1432</v>
      </c>
      <c r="D341" t="s">
        <v>1432</v>
      </c>
      <c r="E341" t="s">
        <v>1433</v>
      </c>
      <c r="F341" t="s">
        <v>1429</v>
      </c>
      <c r="G341" t="s">
        <v>56</v>
      </c>
      <c r="H341" t="s">
        <v>1345</v>
      </c>
      <c r="I341" t="s">
        <v>1430</v>
      </c>
      <c r="Q341" t="e">
        <f>VLOOKUP(B341,Tabelle2!C:S,17,0)</f>
        <v>#N/A</v>
      </c>
    </row>
    <row r="342" spans="1:17" x14ac:dyDescent="0.3">
      <c r="A342" t="s">
        <v>112</v>
      </c>
      <c r="B342" t="s">
        <v>1434</v>
      </c>
      <c r="C342" t="s">
        <v>1435</v>
      </c>
      <c r="D342" t="s">
        <v>1435</v>
      </c>
      <c r="E342" t="s">
        <v>1436</v>
      </c>
      <c r="F342" t="s">
        <v>1437</v>
      </c>
      <c r="G342" t="s">
        <v>56</v>
      </c>
      <c r="H342" t="s">
        <v>207</v>
      </c>
      <c r="I342" t="s">
        <v>1373</v>
      </c>
      <c r="J342" t="s">
        <v>1199</v>
      </c>
      <c r="K342" t="s">
        <v>120</v>
      </c>
      <c r="L342">
        <v>1.1000000000000001</v>
      </c>
      <c r="M342">
        <v>35.299999999999997</v>
      </c>
      <c r="N342" t="s">
        <v>121</v>
      </c>
      <c r="O342" t="s">
        <v>1270</v>
      </c>
      <c r="P342" t="s">
        <v>1271</v>
      </c>
      <c r="Q342" t="e">
        <f>VLOOKUP(B342,Tabelle2!C:S,17,0)</f>
        <v>#N/A</v>
      </c>
    </row>
    <row r="343" spans="1:17" x14ac:dyDescent="0.3">
      <c r="A343" t="s">
        <v>112</v>
      </c>
      <c r="B343" t="s">
        <v>1438</v>
      </c>
      <c r="C343" t="s">
        <v>1439</v>
      </c>
      <c r="D343" t="s">
        <v>1439</v>
      </c>
      <c r="E343" t="s">
        <v>1440</v>
      </c>
      <c r="F343" t="s">
        <v>1437</v>
      </c>
      <c r="G343" t="s">
        <v>56</v>
      </c>
      <c r="H343" t="s">
        <v>207</v>
      </c>
      <c r="I343" t="s">
        <v>1373</v>
      </c>
      <c r="J343" t="s">
        <v>1199</v>
      </c>
      <c r="K343" t="s">
        <v>32</v>
      </c>
      <c r="L343">
        <v>1.1000000000000001</v>
      </c>
      <c r="M343">
        <v>35.299999999999997</v>
      </c>
      <c r="N343" t="s">
        <v>121</v>
      </c>
      <c r="O343" t="s">
        <v>1270</v>
      </c>
      <c r="P343" t="s">
        <v>1271</v>
      </c>
      <c r="Q343" t="e">
        <f>VLOOKUP(B343,Tabelle2!C:S,17,0)</f>
        <v>#N/A</v>
      </c>
    </row>
    <row r="344" spans="1:17" x14ac:dyDescent="0.3">
      <c r="A344" t="s">
        <v>112</v>
      </c>
      <c r="B344" t="s">
        <v>1441</v>
      </c>
      <c r="C344" t="s">
        <v>1442</v>
      </c>
      <c r="D344" t="s">
        <v>1442</v>
      </c>
      <c r="E344" t="s">
        <v>1443</v>
      </c>
      <c r="F344" t="s">
        <v>1444</v>
      </c>
      <c r="G344" t="s">
        <v>56</v>
      </c>
      <c r="H344" t="s">
        <v>1239</v>
      </c>
      <c r="I344" t="s">
        <v>1312</v>
      </c>
      <c r="J344" t="s">
        <v>1199</v>
      </c>
      <c r="K344" t="s">
        <v>32</v>
      </c>
      <c r="L344">
        <v>5.4</v>
      </c>
      <c r="M344">
        <v>11.4</v>
      </c>
      <c r="N344" t="s">
        <v>121</v>
      </c>
      <c r="O344" t="s">
        <v>1270</v>
      </c>
      <c r="P344" t="s">
        <v>1271</v>
      </c>
      <c r="Q344" t="e">
        <f>VLOOKUP(B344,Tabelle2!C:S,17,0)</f>
        <v>#N/A</v>
      </c>
    </row>
    <row r="345" spans="1:17" x14ac:dyDescent="0.3">
      <c r="A345" t="s">
        <v>112</v>
      </c>
      <c r="B345" t="s">
        <v>1445</v>
      </c>
      <c r="C345" t="s">
        <v>1446</v>
      </c>
      <c r="D345" t="s">
        <v>1446</v>
      </c>
      <c r="E345" t="s">
        <v>1447</v>
      </c>
      <c r="F345" t="s">
        <v>1444</v>
      </c>
      <c r="G345" t="s">
        <v>56</v>
      </c>
      <c r="H345" t="s">
        <v>1239</v>
      </c>
      <c r="I345" t="s">
        <v>1448</v>
      </c>
      <c r="J345" t="s">
        <v>1199</v>
      </c>
      <c r="K345" t="s">
        <v>120</v>
      </c>
      <c r="L345">
        <v>5.4</v>
      </c>
      <c r="M345">
        <v>11.4</v>
      </c>
      <c r="N345" t="s">
        <v>121</v>
      </c>
      <c r="O345" t="s">
        <v>1270</v>
      </c>
      <c r="P345" t="s">
        <v>1271</v>
      </c>
      <c r="Q345" t="e">
        <f>VLOOKUP(B345,Tabelle2!C:S,17,0)</f>
        <v>#N/A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A8D7-43E3-45F9-9A85-719937F7B05D}">
  <dimension ref="A1:R282"/>
  <sheetViews>
    <sheetView tabSelected="1" workbookViewId="0">
      <selection sqref="A1:XFD1"/>
    </sheetView>
  </sheetViews>
  <sheetFormatPr baseColWidth="10" defaultRowHeight="14.4" x14ac:dyDescent="0.3"/>
  <cols>
    <col min="3" max="3" width="19.33203125" customWidth="1"/>
  </cols>
  <sheetData>
    <row r="1" spans="1:18" x14ac:dyDescent="0.3">
      <c r="A1" t="s">
        <v>1449</v>
      </c>
      <c r="B1" t="s">
        <v>1450</v>
      </c>
      <c r="C1" t="s">
        <v>1451</v>
      </c>
      <c r="D1" t="s">
        <v>1452</v>
      </c>
      <c r="E1" t="s">
        <v>1453</v>
      </c>
      <c r="F1" t="s">
        <v>1454</v>
      </c>
      <c r="G1" t="s">
        <v>1455</v>
      </c>
      <c r="H1" t="s">
        <v>1456</v>
      </c>
      <c r="I1" t="s">
        <v>1457</v>
      </c>
      <c r="J1" t="s">
        <v>1458</v>
      </c>
      <c r="K1" t="s">
        <v>1459</v>
      </c>
      <c r="L1" t="s">
        <v>1460</v>
      </c>
      <c r="M1" t="s">
        <v>1461</v>
      </c>
      <c r="N1" t="s">
        <v>1462</v>
      </c>
      <c r="O1" t="s">
        <v>1463</v>
      </c>
      <c r="P1" t="s">
        <v>1464</v>
      </c>
      <c r="Q1" t="s">
        <v>1465</v>
      </c>
      <c r="R1" t="s">
        <v>2061</v>
      </c>
    </row>
    <row r="2" spans="1:18" x14ac:dyDescent="0.3">
      <c r="A2">
        <v>1</v>
      </c>
      <c r="B2" t="s">
        <v>1466</v>
      </c>
      <c r="C2" t="s">
        <v>582</v>
      </c>
      <c r="D2" t="s">
        <v>584</v>
      </c>
      <c r="E2" t="s">
        <v>1467</v>
      </c>
      <c r="F2" t="s">
        <v>112</v>
      </c>
      <c r="G2" t="s">
        <v>120</v>
      </c>
      <c r="H2" t="s">
        <v>580</v>
      </c>
      <c r="I2" t="s">
        <v>134</v>
      </c>
      <c r="J2" t="s">
        <v>37</v>
      </c>
      <c r="K2" t="s">
        <v>581</v>
      </c>
      <c r="L2" t="s">
        <v>23</v>
      </c>
      <c r="M2">
        <v>64.099999999999994</v>
      </c>
      <c r="N2">
        <v>-21.9</v>
      </c>
      <c r="O2" t="s">
        <v>26</v>
      </c>
      <c r="P2" t="s">
        <v>1466</v>
      </c>
      <c r="Q2" t="s">
        <v>27</v>
      </c>
      <c r="R2" t="str">
        <f>VLOOKUP(C2,Tabelle1!B:C,2,0)</f>
        <v>NA15763</v>
      </c>
    </row>
    <row r="3" spans="1:18" x14ac:dyDescent="0.3">
      <c r="A3">
        <v>2</v>
      </c>
      <c r="B3" t="s">
        <v>1468</v>
      </c>
      <c r="C3" t="s">
        <v>577</v>
      </c>
      <c r="D3" t="s">
        <v>579</v>
      </c>
      <c r="E3" t="s">
        <v>1469</v>
      </c>
      <c r="F3" t="s">
        <v>112</v>
      </c>
      <c r="G3" t="s">
        <v>120</v>
      </c>
      <c r="H3" t="s">
        <v>580</v>
      </c>
      <c r="I3" t="s">
        <v>134</v>
      </c>
      <c r="J3" t="s">
        <v>37</v>
      </c>
      <c r="K3" t="s">
        <v>581</v>
      </c>
      <c r="L3" t="s">
        <v>23</v>
      </c>
      <c r="M3">
        <v>64.099999999999994</v>
      </c>
      <c r="N3">
        <v>-21.9</v>
      </c>
      <c r="O3" t="s">
        <v>26</v>
      </c>
      <c r="P3" t="s">
        <v>1468</v>
      </c>
      <c r="Q3" t="s">
        <v>27</v>
      </c>
      <c r="R3" t="str">
        <f>VLOOKUP(C3,Tabelle1!B:C,2,0)</f>
        <v>NA15761</v>
      </c>
    </row>
    <row r="4" spans="1:18" x14ac:dyDescent="0.3">
      <c r="A4">
        <v>3</v>
      </c>
      <c r="B4" t="s">
        <v>1470</v>
      </c>
      <c r="C4" t="s">
        <v>730</v>
      </c>
      <c r="D4" t="s">
        <v>732</v>
      </c>
      <c r="E4" t="s">
        <v>1471</v>
      </c>
      <c r="F4" t="s">
        <v>112</v>
      </c>
      <c r="G4" t="s">
        <v>120</v>
      </c>
      <c r="H4" t="s">
        <v>729</v>
      </c>
      <c r="I4" t="s">
        <v>51</v>
      </c>
      <c r="J4" t="s">
        <v>176</v>
      </c>
      <c r="K4" t="s">
        <v>225</v>
      </c>
      <c r="L4" t="s">
        <v>50</v>
      </c>
      <c r="M4">
        <v>26</v>
      </c>
      <c r="N4">
        <v>64</v>
      </c>
      <c r="O4" t="s">
        <v>26</v>
      </c>
      <c r="P4" t="s">
        <v>1470</v>
      </c>
      <c r="Q4" t="s">
        <v>27</v>
      </c>
      <c r="R4" t="str">
        <f>VLOOKUP(C4,Tabelle1!B:C,2,0)</f>
        <v>HGDP00157</v>
      </c>
    </row>
    <row r="5" spans="1:18" x14ac:dyDescent="0.3">
      <c r="A5">
        <v>4</v>
      </c>
      <c r="B5" t="s">
        <v>1472</v>
      </c>
      <c r="C5" t="s">
        <v>726</v>
      </c>
      <c r="D5" t="s">
        <v>728</v>
      </c>
      <c r="E5" t="s">
        <v>1473</v>
      </c>
      <c r="F5" t="s">
        <v>112</v>
      </c>
      <c r="G5" t="s">
        <v>32</v>
      </c>
      <c r="H5" t="s">
        <v>729</v>
      </c>
      <c r="I5" t="s">
        <v>51</v>
      </c>
      <c r="J5" t="s">
        <v>176</v>
      </c>
      <c r="K5" t="s">
        <v>225</v>
      </c>
      <c r="L5" t="s">
        <v>50</v>
      </c>
      <c r="M5">
        <v>26</v>
      </c>
      <c r="N5">
        <v>64</v>
      </c>
      <c r="O5" t="s">
        <v>26</v>
      </c>
      <c r="P5" t="s">
        <v>1472</v>
      </c>
      <c r="Q5" t="s">
        <v>27</v>
      </c>
      <c r="R5" t="str">
        <f>VLOOKUP(C5,Tabelle1!B:C,2,0)</f>
        <v>HGDP00160</v>
      </c>
    </row>
    <row r="6" spans="1:18" x14ac:dyDescent="0.3">
      <c r="A6">
        <v>5</v>
      </c>
      <c r="B6" t="s">
        <v>1474</v>
      </c>
      <c r="C6" t="s">
        <v>762</v>
      </c>
      <c r="D6" t="s">
        <v>764</v>
      </c>
      <c r="E6" t="s">
        <v>1475</v>
      </c>
      <c r="F6" t="s">
        <v>112</v>
      </c>
      <c r="G6" t="s">
        <v>32</v>
      </c>
      <c r="H6" t="s">
        <v>765</v>
      </c>
      <c r="I6" t="s">
        <v>300</v>
      </c>
      <c r="J6" t="s">
        <v>56</v>
      </c>
      <c r="K6" t="s">
        <v>766</v>
      </c>
      <c r="L6" t="s">
        <v>50</v>
      </c>
      <c r="M6">
        <v>8.5</v>
      </c>
      <c r="N6">
        <v>-13.2</v>
      </c>
      <c r="O6" t="s">
        <v>26</v>
      </c>
      <c r="P6" t="s">
        <v>1474</v>
      </c>
      <c r="Q6" t="s">
        <v>27</v>
      </c>
      <c r="R6" t="str">
        <f>VLOOKUP(C6,Tabelle1!B:C,2,0)</f>
        <v>HG03078</v>
      </c>
    </row>
    <row r="7" spans="1:18" x14ac:dyDescent="0.3">
      <c r="A7">
        <v>6</v>
      </c>
      <c r="B7" t="s">
        <v>1476</v>
      </c>
      <c r="C7" t="s">
        <v>767</v>
      </c>
      <c r="D7" t="s">
        <v>769</v>
      </c>
      <c r="E7" t="s">
        <v>1477</v>
      </c>
      <c r="F7" t="s">
        <v>112</v>
      </c>
      <c r="G7" t="s">
        <v>120</v>
      </c>
      <c r="H7" t="s">
        <v>765</v>
      </c>
      <c r="I7" t="s">
        <v>300</v>
      </c>
      <c r="J7" t="s">
        <v>56</v>
      </c>
      <c r="K7" t="s">
        <v>766</v>
      </c>
      <c r="L7" t="s">
        <v>50</v>
      </c>
      <c r="M7">
        <v>8.5</v>
      </c>
      <c r="N7">
        <v>-13.2</v>
      </c>
      <c r="O7" t="s">
        <v>26</v>
      </c>
      <c r="P7" t="s">
        <v>1476</v>
      </c>
      <c r="Q7" t="s">
        <v>27</v>
      </c>
      <c r="R7" t="str">
        <f>VLOOKUP(C7,Tabelle1!B:C,2,0)</f>
        <v>HG03085</v>
      </c>
    </row>
    <row r="8" spans="1:18" x14ac:dyDescent="0.3">
      <c r="A8">
        <v>7</v>
      </c>
      <c r="B8" t="s">
        <v>1478</v>
      </c>
      <c r="C8" t="s">
        <v>934</v>
      </c>
      <c r="D8" t="s">
        <v>936</v>
      </c>
      <c r="E8" t="s">
        <v>1479</v>
      </c>
      <c r="F8" t="s">
        <v>112</v>
      </c>
      <c r="G8" t="s">
        <v>120</v>
      </c>
      <c r="H8" t="s">
        <v>937</v>
      </c>
      <c r="I8" t="s">
        <v>1480</v>
      </c>
      <c r="J8" t="s">
        <v>126</v>
      </c>
      <c r="K8" t="s">
        <v>127</v>
      </c>
      <c r="L8" t="s">
        <v>1481</v>
      </c>
      <c r="M8">
        <v>51.133333329999999</v>
      </c>
      <c r="N8">
        <v>87</v>
      </c>
      <c r="O8" t="s">
        <v>121</v>
      </c>
      <c r="P8" t="s">
        <v>1478</v>
      </c>
      <c r="Q8" t="s">
        <v>27</v>
      </c>
      <c r="R8" t="str">
        <f>VLOOKUP(C8,Tabelle1!B:C,2,0)</f>
        <v>Tuba19</v>
      </c>
    </row>
    <row r="9" spans="1:18" x14ac:dyDescent="0.3">
      <c r="A9">
        <v>8</v>
      </c>
      <c r="B9" t="s">
        <v>1482</v>
      </c>
      <c r="C9" t="s">
        <v>939</v>
      </c>
      <c r="D9" t="s">
        <v>941</v>
      </c>
      <c r="E9" t="s">
        <v>1483</v>
      </c>
      <c r="F9" t="s">
        <v>112</v>
      </c>
      <c r="G9" t="s">
        <v>120</v>
      </c>
      <c r="H9" t="s">
        <v>937</v>
      </c>
      <c r="I9" t="s">
        <v>1480</v>
      </c>
      <c r="J9" t="s">
        <v>126</v>
      </c>
      <c r="K9" t="s">
        <v>127</v>
      </c>
      <c r="L9" t="s">
        <v>1481</v>
      </c>
      <c r="M9">
        <v>51.133333329999999</v>
      </c>
      <c r="N9">
        <v>87</v>
      </c>
      <c r="O9" t="s">
        <v>121</v>
      </c>
      <c r="P9" t="s">
        <v>1482</v>
      </c>
      <c r="Q9" t="s">
        <v>27</v>
      </c>
      <c r="R9" t="str">
        <f>VLOOKUP(C9,Tabelle1!B:C,2,0)</f>
        <v>Tuba9</v>
      </c>
    </row>
    <row r="10" spans="1:18" x14ac:dyDescent="0.3">
      <c r="A10">
        <v>9</v>
      </c>
      <c r="B10" t="s">
        <v>1484</v>
      </c>
      <c r="C10" t="s">
        <v>971</v>
      </c>
      <c r="D10" t="s">
        <v>973</v>
      </c>
      <c r="E10" t="s">
        <v>1485</v>
      </c>
      <c r="F10" t="s">
        <v>112</v>
      </c>
      <c r="G10" t="s">
        <v>120</v>
      </c>
      <c r="H10" t="s">
        <v>969</v>
      </c>
      <c r="I10" t="s">
        <v>1480</v>
      </c>
      <c r="J10" t="s">
        <v>126</v>
      </c>
      <c r="K10" t="s">
        <v>127</v>
      </c>
      <c r="L10" t="s">
        <v>1486</v>
      </c>
      <c r="M10">
        <v>52.37</v>
      </c>
      <c r="N10">
        <v>140.44999999999999</v>
      </c>
      <c r="O10" t="s">
        <v>121</v>
      </c>
      <c r="P10" t="s">
        <v>1484</v>
      </c>
      <c r="Q10" t="s">
        <v>27</v>
      </c>
      <c r="R10" t="str">
        <f>VLOOKUP(C10,Tabelle1!B:C,2,0)</f>
        <v>Ul5</v>
      </c>
    </row>
    <row r="11" spans="1:18" x14ac:dyDescent="0.3">
      <c r="A11">
        <v>10</v>
      </c>
      <c r="B11" t="s">
        <v>1487</v>
      </c>
      <c r="C11" t="s">
        <v>966</v>
      </c>
      <c r="D11" t="s">
        <v>968</v>
      </c>
      <c r="E11" t="s">
        <v>1488</v>
      </c>
      <c r="F11" t="s">
        <v>112</v>
      </c>
      <c r="G11" t="s">
        <v>120</v>
      </c>
      <c r="H11" t="s">
        <v>969</v>
      </c>
      <c r="I11" t="s">
        <v>1480</v>
      </c>
      <c r="J11" t="s">
        <v>126</v>
      </c>
      <c r="K11" t="s">
        <v>127</v>
      </c>
      <c r="L11" t="s">
        <v>1489</v>
      </c>
      <c r="M11">
        <v>52.43</v>
      </c>
      <c r="N11">
        <v>140.41999999999999</v>
      </c>
      <c r="O11" t="s">
        <v>121</v>
      </c>
      <c r="P11" t="s">
        <v>1487</v>
      </c>
      <c r="Q11" t="s">
        <v>27</v>
      </c>
      <c r="R11" t="str">
        <f>VLOOKUP(C11,Tabelle1!B:C,2,0)</f>
        <v>Ul31</v>
      </c>
    </row>
    <row r="12" spans="1:18" x14ac:dyDescent="0.3">
      <c r="A12">
        <v>11</v>
      </c>
      <c r="B12" t="s">
        <v>1490</v>
      </c>
      <c r="C12" t="s">
        <v>305</v>
      </c>
      <c r="D12" t="s">
        <v>307</v>
      </c>
      <c r="E12" t="s">
        <v>1491</v>
      </c>
      <c r="F12" t="s">
        <v>112</v>
      </c>
      <c r="G12" t="s">
        <v>32</v>
      </c>
      <c r="H12" t="s">
        <v>308</v>
      </c>
      <c r="I12" t="s">
        <v>146</v>
      </c>
      <c r="J12" t="s">
        <v>37</v>
      </c>
      <c r="K12" t="s">
        <v>309</v>
      </c>
      <c r="L12" t="s">
        <v>310</v>
      </c>
      <c r="M12">
        <v>43.003</v>
      </c>
      <c r="N12">
        <v>41.015000000000001</v>
      </c>
      <c r="O12" t="s">
        <v>121</v>
      </c>
      <c r="P12" t="s">
        <v>1490</v>
      </c>
      <c r="Q12" t="s">
        <v>27</v>
      </c>
      <c r="R12" t="str">
        <f>VLOOKUP(C12,Tabelle1!B:C,2,0)</f>
        <v>abh107</v>
      </c>
    </row>
    <row r="13" spans="1:18" x14ac:dyDescent="0.3">
      <c r="A13">
        <v>12</v>
      </c>
      <c r="B13" t="s">
        <v>1492</v>
      </c>
      <c r="C13" t="s">
        <v>311</v>
      </c>
      <c r="D13" t="s">
        <v>313</v>
      </c>
      <c r="E13" t="s">
        <v>1493</v>
      </c>
      <c r="F13" t="s">
        <v>112</v>
      </c>
      <c r="G13" t="s">
        <v>32</v>
      </c>
      <c r="H13" t="s">
        <v>308</v>
      </c>
      <c r="I13" t="s">
        <v>146</v>
      </c>
      <c r="J13" t="s">
        <v>37</v>
      </c>
      <c r="K13" t="s">
        <v>127</v>
      </c>
      <c r="L13" t="s">
        <v>310</v>
      </c>
      <c r="M13">
        <v>43.003</v>
      </c>
      <c r="N13">
        <v>41.015000000000001</v>
      </c>
      <c r="O13" t="s">
        <v>121</v>
      </c>
      <c r="P13" t="s">
        <v>1492</v>
      </c>
      <c r="Q13" t="s">
        <v>27</v>
      </c>
      <c r="R13" t="str">
        <f>VLOOKUP(C13,Tabelle1!B:C,2,0)</f>
        <v>abh100</v>
      </c>
    </row>
    <row r="14" spans="1:18" x14ac:dyDescent="0.3">
      <c r="A14">
        <v>13</v>
      </c>
      <c r="B14" t="s">
        <v>1494</v>
      </c>
      <c r="C14" t="s">
        <v>179</v>
      </c>
      <c r="D14" t="s">
        <v>181</v>
      </c>
      <c r="E14" t="s">
        <v>1495</v>
      </c>
      <c r="F14" t="s">
        <v>112</v>
      </c>
      <c r="G14" t="s">
        <v>32</v>
      </c>
      <c r="H14" t="s">
        <v>182</v>
      </c>
      <c r="I14" t="s">
        <v>134</v>
      </c>
      <c r="J14" t="s">
        <v>21</v>
      </c>
      <c r="K14" t="s">
        <v>183</v>
      </c>
      <c r="L14" t="s">
        <v>23</v>
      </c>
      <c r="M14">
        <v>-41.3</v>
      </c>
      <c r="N14">
        <v>174.5</v>
      </c>
      <c r="O14" t="s">
        <v>26</v>
      </c>
      <c r="P14" t="s">
        <v>1494</v>
      </c>
      <c r="Q14" t="s">
        <v>27</v>
      </c>
      <c r="R14" t="str">
        <f>VLOOKUP(C14,Tabelle1!B:C,2,0)</f>
        <v>NA17386</v>
      </c>
    </row>
    <row r="15" spans="1:18" x14ac:dyDescent="0.3">
      <c r="A15">
        <v>14</v>
      </c>
      <c r="B15" t="s">
        <v>1496</v>
      </c>
      <c r="C15" t="s">
        <v>559</v>
      </c>
      <c r="D15" t="s">
        <v>561</v>
      </c>
      <c r="E15" t="s">
        <v>1497</v>
      </c>
      <c r="F15" t="s">
        <v>112</v>
      </c>
      <c r="G15" t="s">
        <v>32</v>
      </c>
      <c r="H15" t="s">
        <v>558</v>
      </c>
      <c r="I15" t="s">
        <v>51</v>
      </c>
      <c r="J15" t="s">
        <v>176</v>
      </c>
      <c r="K15" t="s">
        <v>225</v>
      </c>
      <c r="L15" t="s">
        <v>50</v>
      </c>
      <c r="M15">
        <v>33.5</v>
      </c>
      <c r="N15">
        <v>70</v>
      </c>
      <c r="O15" t="s">
        <v>26</v>
      </c>
      <c r="P15" t="s">
        <v>1496</v>
      </c>
      <c r="Q15" t="s">
        <v>27</v>
      </c>
      <c r="R15" t="str">
        <f>VLOOKUP(C15,Tabelle1!B:C,2,0)</f>
        <v>HGDP00125</v>
      </c>
    </row>
    <row r="16" spans="1:18" x14ac:dyDescent="0.3">
      <c r="A16">
        <v>15</v>
      </c>
      <c r="B16" t="s">
        <v>1498</v>
      </c>
      <c r="C16" t="s">
        <v>555</v>
      </c>
      <c r="D16" t="s">
        <v>557</v>
      </c>
      <c r="E16" t="s">
        <v>1499</v>
      </c>
      <c r="F16" t="s">
        <v>112</v>
      </c>
      <c r="G16" t="s">
        <v>32</v>
      </c>
      <c r="H16" t="s">
        <v>558</v>
      </c>
      <c r="I16" t="s">
        <v>51</v>
      </c>
      <c r="J16" t="s">
        <v>176</v>
      </c>
      <c r="K16" t="s">
        <v>225</v>
      </c>
      <c r="L16" t="s">
        <v>50</v>
      </c>
      <c r="M16">
        <v>33.5</v>
      </c>
      <c r="N16">
        <v>70</v>
      </c>
      <c r="O16" t="s">
        <v>26</v>
      </c>
      <c r="P16" t="s">
        <v>1498</v>
      </c>
      <c r="Q16" t="s">
        <v>27</v>
      </c>
      <c r="R16" t="str">
        <f>VLOOKUP(C16,Tabelle1!B:C,2,0)</f>
        <v>HGDP00124</v>
      </c>
    </row>
    <row r="17" spans="1:18" x14ac:dyDescent="0.3">
      <c r="A17">
        <v>16</v>
      </c>
      <c r="B17" t="s">
        <v>1500</v>
      </c>
      <c r="C17" t="s">
        <v>280</v>
      </c>
      <c r="D17" t="s">
        <v>282</v>
      </c>
      <c r="E17" t="s">
        <v>1501</v>
      </c>
      <c r="F17" t="s">
        <v>112</v>
      </c>
      <c r="G17" t="s">
        <v>32</v>
      </c>
      <c r="H17" t="s">
        <v>283</v>
      </c>
      <c r="I17" t="s">
        <v>286</v>
      </c>
      <c r="J17" t="s">
        <v>37</v>
      </c>
      <c r="K17" t="s">
        <v>284</v>
      </c>
      <c r="L17" t="s">
        <v>285</v>
      </c>
      <c r="M17">
        <v>32.055</v>
      </c>
      <c r="N17">
        <v>35.914000000000001</v>
      </c>
      <c r="O17" t="s">
        <v>121</v>
      </c>
      <c r="P17" t="s">
        <v>1500</v>
      </c>
      <c r="Q17" t="s">
        <v>27</v>
      </c>
      <c r="R17" t="str">
        <f>VLOOKUP(C17,Tabelle1!B:C,2,0)</f>
        <v>Jordan603</v>
      </c>
    </row>
    <row r="18" spans="1:18" x14ac:dyDescent="0.3">
      <c r="A18">
        <v>17</v>
      </c>
      <c r="B18" t="s">
        <v>1502</v>
      </c>
      <c r="C18" t="s">
        <v>1073</v>
      </c>
      <c r="D18" t="s">
        <v>1075</v>
      </c>
      <c r="E18" t="s">
        <v>1503</v>
      </c>
      <c r="F18" t="s">
        <v>112</v>
      </c>
      <c r="G18" t="s">
        <v>32</v>
      </c>
      <c r="H18" t="s">
        <v>283</v>
      </c>
      <c r="I18" t="s">
        <v>286</v>
      </c>
      <c r="J18" t="s">
        <v>37</v>
      </c>
      <c r="K18" t="s">
        <v>284</v>
      </c>
      <c r="L18" t="s">
        <v>285</v>
      </c>
      <c r="M18">
        <v>32.055</v>
      </c>
      <c r="N18">
        <v>35.914000000000001</v>
      </c>
      <c r="O18" t="s">
        <v>121</v>
      </c>
      <c r="P18" t="s">
        <v>1502</v>
      </c>
      <c r="Q18" t="s">
        <v>27</v>
      </c>
      <c r="R18" t="str">
        <f>VLOOKUP(C18,Tabelle1!B:C,2,0)</f>
        <v>Jordan214</v>
      </c>
    </row>
    <row r="19" spans="1:18" x14ac:dyDescent="0.3">
      <c r="A19">
        <v>18</v>
      </c>
      <c r="B19" t="s">
        <v>1504</v>
      </c>
      <c r="C19" t="s">
        <v>1070</v>
      </c>
      <c r="D19" t="s">
        <v>1072</v>
      </c>
      <c r="E19" t="s">
        <v>1505</v>
      </c>
      <c r="F19" t="s">
        <v>112</v>
      </c>
      <c r="G19" t="s">
        <v>32</v>
      </c>
      <c r="H19" t="s">
        <v>283</v>
      </c>
      <c r="I19" t="s">
        <v>286</v>
      </c>
      <c r="J19" t="s">
        <v>37</v>
      </c>
      <c r="K19" t="s">
        <v>284</v>
      </c>
      <c r="L19" t="s">
        <v>285</v>
      </c>
      <c r="M19">
        <v>32.055</v>
      </c>
      <c r="N19">
        <v>35.914000000000001</v>
      </c>
      <c r="O19" t="s">
        <v>121</v>
      </c>
      <c r="P19" t="s">
        <v>1504</v>
      </c>
      <c r="Q19" t="s">
        <v>27</v>
      </c>
      <c r="R19" t="str">
        <f>VLOOKUP(C19,Tabelle1!B:C,2,0)</f>
        <v>Jordan445</v>
      </c>
    </row>
    <row r="20" spans="1:18" x14ac:dyDescent="0.3">
      <c r="A20">
        <v>19</v>
      </c>
      <c r="B20" t="s">
        <v>1506</v>
      </c>
      <c r="C20" t="s">
        <v>797</v>
      </c>
      <c r="D20" t="s">
        <v>799</v>
      </c>
      <c r="E20" t="s">
        <v>1507</v>
      </c>
      <c r="F20" t="s">
        <v>112</v>
      </c>
      <c r="G20" t="s">
        <v>120</v>
      </c>
      <c r="H20" t="s">
        <v>796</v>
      </c>
      <c r="I20" t="s">
        <v>51</v>
      </c>
      <c r="J20" t="s">
        <v>126</v>
      </c>
      <c r="K20" t="s">
        <v>49</v>
      </c>
      <c r="L20" t="s">
        <v>50</v>
      </c>
      <c r="M20">
        <v>45</v>
      </c>
      <c r="N20">
        <v>111</v>
      </c>
      <c r="O20" t="s">
        <v>26</v>
      </c>
      <c r="P20" t="s">
        <v>1506</v>
      </c>
      <c r="Q20" t="s">
        <v>27</v>
      </c>
      <c r="R20" t="str">
        <f>VLOOKUP(C20,Tabelle1!B:C,2,0)</f>
        <v>HGDP01223</v>
      </c>
    </row>
    <row r="21" spans="1:18" x14ac:dyDescent="0.3">
      <c r="A21">
        <v>20</v>
      </c>
      <c r="B21" t="s">
        <v>1508</v>
      </c>
      <c r="C21" t="s">
        <v>793</v>
      </c>
      <c r="D21" t="s">
        <v>795</v>
      </c>
      <c r="E21" t="s">
        <v>1509</v>
      </c>
      <c r="F21" t="s">
        <v>112</v>
      </c>
      <c r="G21" t="s">
        <v>32</v>
      </c>
      <c r="H21" t="s">
        <v>796</v>
      </c>
      <c r="I21" t="s">
        <v>51</v>
      </c>
      <c r="J21" t="s">
        <v>126</v>
      </c>
      <c r="K21" t="s">
        <v>49</v>
      </c>
      <c r="L21" t="s">
        <v>50</v>
      </c>
      <c r="M21">
        <v>45</v>
      </c>
      <c r="N21">
        <v>111</v>
      </c>
      <c r="O21" t="s">
        <v>26</v>
      </c>
      <c r="P21" t="s">
        <v>1508</v>
      </c>
      <c r="Q21" t="s">
        <v>27</v>
      </c>
      <c r="R21" t="str">
        <f>VLOOKUP(C21,Tabelle1!B:C,2,0)</f>
        <v>HGDP01228</v>
      </c>
    </row>
    <row r="22" spans="1:18" x14ac:dyDescent="0.3">
      <c r="A22">
        <v>21</v>
      </c>
      <c r="B22" t="s">
        <v>1510</v>
      </c>
      <c r="C22" t="s">
        <v>521</v>
      </c>
      <c r="D22" t="s">
        <v>523</v>
      </c>
      <c r="E22" t="s">
        <v>1511</v>
      </c>
      <c r="F22" t="s">
        <v>112</v>
      </c>
      <c r="G22" t="s">
        <v>120</v>
      </c>
      <c r="H22" t="s">
        <v>64</v>
      </c>
      <c r="I22" t="s">
        <v>51</v>
      </c>
      <c r="J22" t="s">
        <v>37</v>
      </c>
      <c r="K22" t="s">
        <v>65</v>
      </c>
      <c r="L22" t="s">
        <v>50</v>
      </c>
      <c r="M22">
        <v>46</v>
      </c>
      <c r="N22">
        <v>2</v>
      </c>
      <c r="O22" t="s">
        <v>26</v>
      </c>
      <c r="P22" t="s">
        <v>1510</v>
      </c>
      <c r="Q22" t="s">
        <v>27</v>
      </c>
      <c r="R22" t="str">
        <f>VLOOKUP(C22,Tabelle1!B:C,2,0)</f>
        <v>HGDP00526</v>
      </c>
    </row>
    <row r="23" spans="1:18" x14ac:dyDescent="0.3">
      <c r="A23">
        <v>22</v>
      </c>
      <c r="B23" t="s">
        <v>1512</v>
      </c>
      <c r="C23" t="s">
        <v>518</v>
      </c>
      <c r="D23" t="s">
        <v>520</v>
      </c>
      <c r="E23" t="s">
        <v>1513</v>
      </c>
      <c r="F23" t="s">
        <v>112</v>
      </c>
      <c r="G23" t="s">
        <v>32</v>
      </c>
      <c r="H23" t="s">
        <v>64</v>
      </c>
      <c r="I23" t="s">
        <v>51</v>
      </c>
      <c r="J23" t="s">
        <v>37</v>
      </c>
      <c r="K23" t="s">
        <v>65</v>
      </c>
      <c r="L23" t="s">
        <v>50</v>
      </c>
      <c r="M23">
        <v>46</v>
      </c>
      <c r="N23">
        <v>2</v>
      </c>
      <c r="O23" t="s">
        <v>26</v>
      </c>
      <c r="P23" t="s">
        <v>1512</v>
      </c>
      <c r="Q23" t="s">
        <v>27</v>
      </c>
      <c r="R23" t="str">
        <f>VLOOKUP(C23,Tabelle1!B:C,2,0)</f>
        <v>HGDP00530</v>
      </c>
    </row>
    <row r="24" spans="1:18" x14ac:dyDescent="0.3">
      <c r="A24">
        <v>23</v>
      </c>
      <c r="B24" t="s">
        <v>1514</v>
      </c>
      <c r="C24" t="s">
        <v>784</v>
      </c>
      <c r="D24" t="s">
        <v>786</v>
      </c>
      <c r="E24" t="s">
        <v>1515</v>
      </c>
      <c r="F24" t="s">
        <v>112</v>
      </c>
      <c r="G24" t="s">
        <v>32</v>
      </c>
      <c r="H24" t="s">
        <v>787</v>
      </c>
      <c r="I24" t="s">
        <v>789</v>
      </c>
      <c r="J24" t="s">
        <v>79</v>
      </c>
      <c r="K24" t="s">
        <v>95</v>
      </c>
      <c r="L24" t="s">
        <v>788</v>
      </c>
      <c r="M24">
        <v>17</v>
      </c>
      <c r="N24">
        <v>-97</v>
      </c>
      <c r="O24" t="s">
        <v>26</v>
      </c>
      <c r="P24" t="s">
        <v>1514</v>
      </c>
      <c r="Q24" t="s">
        <v>27</v>
      </c>
      <c r="R24" t="str">
        <f>VLOOKUP(C24,Tabelle1!B:C,2,0)</f>
        <v>mixa0099</v>
      </c>
    </row>
    <row r="25" spans="1:18" x14ac:dyDescent="0.3">
      <c r="A25">
        <v>24</v>
      </c>
      <c r="B25" t="s">
        <v>1516</v>
      </c>
      <c r="C25" t="s">
        <v>790</v>
      </c>
      <c r="D25" t="s">
        <v>792</v>
      </c>
      <c r="E25" t="s">
        <v>1517</v>
      </c>
      <c r="F25" t="s">
        <v>112</v>
      </c>
      <c r="G25" t="s">
        <v>120</v>
      </c>
      <c r="H25" t="s">
        <v>787</v>
      </c>
      <c r="I25" t="s">
        <v>789</v>
      </c>
      <c r="J25" t="s">
        <v>79</v>
      </c>
      <c r="K25" t="s">
        <v>95</v>
      </c>
      <c r="L25" t="s">
        <v>50</v>
      </c>
      <c r="M25">
        <v>17</v>
      </c>
      <c r="N25">
        <v>-97</v>
      </c>
      <c r="O25" t="s">
        <v>26</v>
      </c>
      <c r="P25" t="s">
        <v>1516</v>
      </c>
      <c r="Q25" t="s">
        <v>27</v>
      </c>
      <c r="R25" t="str">
        <f>VLOOKUP(C25,Tabelle1!B:C,2,0)</f>
        <v>mixa0105</v>
      </c>
    </row>
    <row r="26" spans="1:18" x14ac:dyDescent="0.3">
      <c r="A26">
        <v>25</v>
      </c>
      <c r="B26" t="s">
        <v>1518</v>
      </c>
      <c r="C26" t="s">
        <v>1012</v>
      </c>
      <c r="D26" t="s">
        <v>1014</v>
      </c>
      <c r="E26" t="s">
        <v>1519</v>
      </c>
      <c r="F26" t="s">
        <v>112</v>
      </c>
      <c r="G26" t="s">
        <v>32</v>
      </c>
      <c r="H26" t="s">
        <v>1015</v>
      </c>
      <c r="I26" t="s">
        <v>51</v>
      </c>
      <c r="J26" t="s">
        <v>48</v>
      </c>
      <c r="K26" t="s">
        <v>49</v>
      </c>
      <c r="L26" t="s">
        <v>50</v>
      </c>
      <c r="M26">
        <v>28</v>
      </c>
      <c r="N26">
        <v>103</v>
      </c>
      <c r="O26" t="s">
        <v>26</v>
      </c>
      <c r="P26" t="s">
        <v>1518</v>
      </c>
      <c r="Q26" t="s">
        <v>27</v>
      </c>
      <c r="R26" t="str">
        <f>VLOOKUP(C26,Tabelle1!B:C,2,0)</f>
        <v>HGDP01179</v>
      </c>
    </row>
    <row r="27" spans="1:18" x14ac:dyDescent="0.3">
      <c r="A27">
        <v>26</v>
      </c>
      <c r="B27" t="s">
        <v>1520</v>
      </c>
      <c r="C27" t="s">
        <v>91</v>
      </c>
      <c r="D27" t="s">
        <v>93</v>
      </c>
      <c r="E27" t="s">
        <v>1521</v>
      </c>
      <c r="F27" t="s">
        <v>16</v>
      </c>
      <c r="G27" t="s">
        <v>120</v>
      </c>
      <c r="H27" t="s">
        <v>94</v>
      </c>
      <c r="I27" t="s">
        <v>789</v>
      </c>
      <c r="J27" t="s">
        <v>79</v>
      </c>
      <c r="K27" t="s">
        <v>95</v>
      </c>
      <c r="L27" t="s">
        <v>1522</v>
      </c>
      <c r="M27">
        <v>16.95</v>
      </c>
      <c r="N27">
        <v>-96.58</v>
      </c>
      <c r="O27" t="s">
        <v>26</v>
      </c>
      <c r="P27" t="s">
        <v>1520</v>
      </c>
      <c r="Q27" t="s">
        <v>27</v>
      </c>
      <c r="R27" t="str">
        <f>VLOOKUP(C27,Tabelle1!B:C,2,0)</f>
        <v>mixe0007</v>
      </c>
    </row>
    <row r="28" spans="1:18" x14ac:dyDescent="0.3">
      <c r="A28">
        <v>27</v>
      </c>
      <c r="B28" t="s">
        <v>1523</v>
      </c>
      <c r="C28" t="s">
        <v>816</v>
      </c>
      <c r="D28" t="s">
        <v>818</v>
      </c>
      <c r="E28" t="s">
        <v>1524</v>
      </c>
      <c r="F28" t="s">
        <v>112</v>
      </c>
      <c r="G28" t="s">
        <v>32</v>
      </c>
      <c r="H28" t="s">
        <v>819</v>
      </c>
      <c r="I28" t="s">
        <v>51</v>
      </c>
      <c r="J28" t="s">
        <v>48</v>
      </c>
      <c r="K28" t="s">
        <v>49</v>
      </c>
      <c r="L28" t="s">
        <v>50</v>
      </c>
      <c r="M28">
        <v>50.4</v>
      </c>
      <c r="N28">
        <v>126.5</v>
      </c>
      <c r="O28" t="s">
        <v>26</v>
      </c>
      <c r="P28" t="s">
        <v>1523</v>
      </c>
      <c r="Q28" t="s">
        <v>27</v>
      </c>
      <c r="R28" t="str">
        <f>VLOOKUP(C28,Tabelle1!B:C,2,0)</f>
        <v>HGDP01203</v>
      </c>
    </row>
    <row r="29" spans="1:18" x14ac:dyDescent="0.3">
      <c r="A29">
        <v>28</v>
      </c>
      <c r="B29" t="s">
        <v>1525</v>
      </c>
      <c r="C29" t="s">
        <v>820</v>
      </c>
      <c r="D29" t="s">
        <v>822</v>
      </c>
      <c r="E29" t="s">
        <v>1526</v>
      </c>
      <c r="F29" t="s">
        <v>112</v>
      </c>
      <c r="G29" t="s">
        <v>120</v>
      </c>
      <c r="H29" t="s">
        <v>819</v>
      </c>
      <c r="I29" t="s">
        <v>51</v>
      </c>
      <c r="J29" t="s">
        <v>48</v>
      </c>
      <c r="K29" t="s">
        <v>49</v>
      </c>
      <c r="L29" t="s">
        <v>50</v>
      </c>
      <c r="M29">
        <v>50.4</v>
      </c>
      <c r="N29">
        <v>126.5</v>
      </c>
      <c r="O29" t="s">
        <v>26</v>
      </c>
      <c r="P29" t="s">
        <v>1525</v>
      </c>
      <c r="Q29" t="s">
        <v>27</v>
      </c>
      <c r="R29" t="str">
        <f>VLOOKUP(C29,Tabelle1!B:C,2,0)</f>
        <v>HGDP01211</v>
      </c>
    </row>
    <row r="30" spans="1:18" x14ac:dyDescent="0.3">
      <c r="A30">
        <v>29</v>
      </c>
      <c r="B30" t="s">
        <v>1527</v>
      </c>
      <c r="C30" t="s">
        <v>372</v>
      </c>
      <c r="D30" t="s">
        <v>374</v>
      </c>
      <c r="E30" t="s">
        <v>1528</v>
      </c>
      <c r="F30" t="s">
        <v>112</v>
      </c>
      <c r="G30" t="s">
        <v>120</v>
      </c>
      <c r="H30" t="s">
        <v>370</v>
      </c>
      <c r="I30" t="s">
        <v>51</v>
      </c>
      <c r="J30" t="s">
        <v>37</v>
      </c>
      <c r="K30" t="s">
        <v>371</v>
      </c>
      <c r="L30" t="s">
        <v>50</v>
      </c>
      <c r="M30">
        <v>31</v>
      </c>
      <c r="N30">
        <v>35</v>
      </c>
      <c r="O30" t="s">
        <v>26</v>
      </c>
      <c r="P30" t="s">
        <v>1527</v>
      </c>
      <c r="Q30" t="s">
        <v>27</v>
      </c>
      <c r="R30" t="str">
        <f>VLOOKUP(C30,Tabelle1!B:C,2,0)</f>
        <v>HGDP00650</v>
      </c>
    </row>
    <row r="31" spans="1:18" x14ac:dyDescent="0.3">
      <c r="A31">
        <v>30</v>
      </c>
      <c r="B31" t="s">
        <v>1529</v>
      </c>
      <c r="C31" t="s">
        <v>367</v>
      </c>
      <c r="D31" t="s">
        <v>369</v>
      </c>
      <c r="E31" t="s">
        <v>1530</v>
      </c>
      <c r="F31" t="s">
        <v>112</v>
      </c>
      <c r="G31" t="s">
        <v>32</v>
      </c>
      <c r="H31" t="s">
        <v>370</v>
      </c>
      <c r="I31" t="s">
        <v>51</v>
      </c>
      <c r="J31" t="s">
        <v>37</v>
      </c>
      <c r="K31" t="s">
        <v>371</v>
      </c>
      <c r="L31" t="s">
        <v>50</v>
      </c>
      <c r="M31">
        <v>31</v>
      </c>
      <c r="N31">
        <v>35</v>
      </c>
      <c r="O31" t="s">
        <v>26</v>
      </c>
      <c r="P31" t="s">
        <v>1529</v>
      </c>
      <c r="Q31" t="s">
        <v>27</v>
      </c>
      <c r="R31" t="str">
        <f>VLOOKUP(C31,Tabelle1!B:C,2,0)</f>
        <v>HGDP00616</v>
      </c>
    </row>
    <row r="32" spans="1:18" x14ac:dyDescent="0.3">
      <c r="A32">
        <v>31</v>
      </c>
      <c r="B32" t="s">
        <v>1531</v>
      </c>
      <c r="C32" t="s">
        <v>375</v>
      </c>
      <c r="D32" t="s">
        <v>377</v>
      </c>
      <c r="E32" t="s">
        <v>1532</v>
      </c>
      <c r="F32" t="s">
        <v>112</v>
      </c>
      <c r="G32" t="s">
        <v>32</v>
      </c>
      <c r="H32" t="s">
        <v>378</v>
      </c>
      <c r="I32" t="s">
        <v>300</v>
      </c>
      <c r="J32" t="s">
        <v>176</v>
      </c>
      <c r="K32" t="s">
        <v>379</v>
      </c>
      <c r="L32" t="s">
        <v>50</v>
      </c>
      <c r="M32">
        <v>23.7</v>
      </c>
      <c r="N32">
        <v>90.4</v>
      </c>
      <c r="O32" t="s">
        <v>26</v>
      </c>
      <c r="P32" t="s">
        <v>1531</v>
      </c>
      <c r="Q32" t="s">
        <v>27</v>
      </c>
      <c r="R32" t="str">
        <f>VLOOKUP(C32,Tabelle1!B:C,2,0)</f>
        <v>HG03006</v>
      </c>
    </row>
    <row r="33" spans="1:18" x14ac:dyDescent="0.3">
      <c r="A33">
        <v>32</v>
      </c>
      <c r="B33" t="s">
        <v>1533</v>
      </c>
      <c r="C33" t="s">
        <v>380</v>
      </c>
      <c r="D33" t="s">
        <v>382</v>
      </c>
      <c r="E33" t="s">
        <v>1534</v>
      </c>
      <c r="F33" t="s">
        <v>112</v>
      </c>
      <c r="G33" t="s">
        <v>120</v>
      </c>
      <c r="H33" t="s">
        <v>378</v>
      </c>
      <c r="I33" t="s">
        <v>300</v>
      </c>
      <c r="J33" t="s">
        <v>176</v>
      </c>
      <c r="K33" t="s">
        <v>379</v>
      </c>
      <c r="L33" t="s">
        <v>50</v>
      </c>
      <c r="M33">
        <v>23.7</v>
      </c>
      <c r="N33">
        <v>90.4</v>
      </c>
      <c r="O33" t="s">
        <v>26</v>
      </c>
      <c r="P33" t="s">
        <v>1533</v>
      </c>
      <c r="Q33" t="s">
        <v>27</v>
      </c>
      <c r="R33" t="str">
        <f>VLOOKUP(C33,Tabelle1!B:C,2,0)</f>
        <v>HG03007</v>
      </c>
    </row>
    <row r="34" spans="1:18" x14ac:dyDescent="0.3">
      <c r="A34">
        <v>33</v>
      </c>
      <c r="B34" t="s">
        <v>1535</v>
      </c>
      <c r="C34" t="s">
        <v>746</v>
      </c>
      <c r="D34" t="s">
        <v>748</v>
      </c>
      <c r="E34" t="s">
        <v>1536</v>
      </c>
      <c r="F34" t="s">
        <v>112</v>
      </c>
      <c r="G34" t="s">
        <v>32</v>
      </c>
      <c r="H34" t="s">
        <v>749</v>
      </c>
      <c r="I34" t="s">
        <v>1537</v>
      </c>
      <c r="J34" t="s">
        <v>126</v>
      </c>
      <c r="K34" t="s">
        <v>127</v>
      </c>
      <c r="L34" t="s">
        <v>1538</v>
      </c>
      <c r="M34">
        <v>63.8</v>
      </c>
      <c r="N34">
        <v>61.45</v>
      </c>
      <c r="O34" t="s">
        <v>121</v>
      </c>
      <c r="P34" t="s">
        <v>1535</v>
      </c>
      <c r="Q34" t="s">
        <v>27</v>
      </c>
      <c r="R34" t="str">
        <f>VLOOKUP(C34,Tabelle1!B:C,2,0)</f>
        <v>Mansi79</v>
      </c>
    </row>
    <row r="35" spans="1:18" x14ac:dyDescent="0.3">
      <c r="A35">
        <v>34</v>
      </c>
      <c r="B35" t="s">
        <v>1539</v>
      </c>
      <c r="C35" t="s">
        <v>751</v>
      </c>
      <c r="D35" t="s">
        <v>753</v>
      </c>
      <c r="E35" t="s">
        <v>1540</v>
      </c>
      <c r="F35" t="s">
        <v>112</v>
      </c>
      <c r="G35" t="s">
        <v>120</v>
      </c>
      <c r="H35" t="s">
        <v>749</v>
      </c>
      <c r="I35" t="s">
        <v>1537</v>
      </c>
      <c r="J35" t="s">
        <v>126</v>
      </c>
      <c r="K35" t="s">
        <v>127</v>
      </c>
      <c r="L35" t="s">
        <v>1541</v>
      </c>
      <c r="M35">
        <v>63.65</v>
      </c>
      <c r="N35">
        <v>62.1</v>
      </c>
      <c r="O35" t="s">
        <v>121</v>
      </c>
      <c r="P35" t="s">
        <v>1539</v>
      </c>
      <c r="Q35" t="s">
        <v>27</v>
      </c>
      <c r="R35" t="str">
        <f>VLOOKUP(C35,Tabelle1!B:C,2,0)</f>
        <v>Mansi41</v>
      </c>
    </row>
    <row r="36" spans="1:18" x14ac:dyDescent="0.3">
      <c r="A36">
        <v>35</v>
      </c>
      <c r="B36" t="s">
        <v>1542</v>
      </c>
      <c r="C36" t="s">
        <v>264</v>
      </c>
      <c r="D36" t="s">
        <v>266</v>
      </c>
      <c r="E36" t="s">
        <v>1543</v>
      </c>
      <c r="F36" t="s">
        <v>112</v>
      </c>
      <c r="G36" t="s">
        <v>120</v>
      </c>
      <c r="H36" t="s">
        <v>263</v>
      </c>
      <c r="I36" t="s">
        <v>51</v>
      </c>
      <c r="J36" t="s">
        <v>79</v>
      </c>
      <c r="K36" t="s">
        <v>95</v>
      </c>
      <c r="L36" t="s">
        <v>50</v>
      </c>
      <c r="M36">
        <v>29</v>
      </c>
      <c r="N36">
        <v>-108</v>
      </c>
      <c r="O36" t="s">
        <v>26</v>
      </c>
      <c r="P36" t="s">
        <v>1542</v>
      </c>
      <c r="Q36" t="s">
        <v>27</v>
      </c>
      <c r="R36" t="str">
        <f>VLOOKUP(C36,Tabelle1!B:C,2,0)</f>
        <v>HGDP01044</v>
      </c>
    </row>
    <row r="37" spans="1:18" x14ac:dyDescent="0.3">
      <c r="A37">
        <v>36</v>
      </c>
      <c r="B37" t="s">
        <v>1544</v>
      </c>
      <c r="C37" t="s">
        <v>260</v>
      </c>
      <c r="D37" t="s">
        <v>262</v>
      </c>
      <c r="E37" t="s">
        <v>1545</v>
      </c>
      <c r="F37" t="s">
        <v>112</v>
      </c>
      <c r="G37" t="s">
        <v>32</v>
      </c>
      <c r="H37" t="s">
        <v>263</v>
      </c>
      <c r="I37" t="s">
        <v>51</v>
      </c>
      <c r="J37" t="s">
        <v>79</v>
      </c>
      <c r="K37" t="s">
        <v>95</v>
      </c>
      <c r="L37" t="s">
        <v>50</v>
      </c>
      <c r="M37">
        <v>29</v>
      </c>
      <c r="N37">
        <v>-108</v>
      </c>
      <c r="O37" t="s">
        <v>26</v>
      </c>
      <c r="P37" t="s">
        <v>1544</v>
      </c>
      <c r="Q37" t="s">
        <v>27</v>
      </c>
      <c r="R37" t="str">
        <f>VLOOKUP(C37,Tabelle1!B:C,2,0)</f>
        <v>HGDP01047</v>
      </c>
    </row>
    <row r="38" spans="1:18" x14ac:dyDescent="0.3">
      <c r="A38">
        <v>37</v>
      </c>
      <c r="B38" t="s">
        <v>1546</v>
      </c>
      <c r="C38" t="s">
        <v>1101</v>
      </c>
      <c r="D38" t="s">
        <v>1103</v>
      </c>
      <c r="E38" t="s">
        <v>1547</v>
      </c>
      <c r="F38" t="s">
        <v>112</v>
      </c>
      <c r="G38" t="s">
        <v>32</v>
      </c>
      <c r="H38" t="s">
        <v>293</v>
      </c>
      <c r="I38" t="s">
        <v>51</v>
      </c>
      <c r="J38" t="s">
        <v>37</v>
      </c>
      <c r="K38" t="s">
        <v>294</v>
      </c>
      <c r="L38" t="s">
        <v>50</v>
      </c>
      <c r="M38">
        <v>32</v>
      </c>
      <c r="N38">
        <v>35</v>
      </c>
      <c r="O38" t="s">
        <v>26</v>
      </c>
      <c r="P38" t="s">
        <v>1546</v>
      </c>
      <c r="Q38" t="s">
        <v>27</v>
      </c>
      <c r="R38" t="str">
        <f>VLOOKUP(C38,Tabelle1!B:C,2,0)</f>
        <v>HGDP00725</v>
      </c>
    </row>
    <row r="39" spans="1:18" x14ac:dyDescent="0.3">
      <c r="A39">
        <v>38</v>
      </c>
      <c r="B39" t="s">
        <v>1548</v>
      </c>
      <c r="C39" t="s">
        <v>290</v>
      </c>
      <c r="D39" t="s">
        <v>292</v>
      </c>
      <c r="E39" t="s">
        <v>1549</v>
      </c>
      <c r="F39" t="s">
        <v>112</v>
      </c>
      <c r="G39" t="s">
        <v>120</v>
      </c>
      <c r="H39" t="s">
        <v>293</v>
      </c>
      <c r="I39" t="s">
        <v>51</v>
      </c>
      <c r="J39" t="s">
        <v>37</v>
      </c>
      <c r="K39" t="s">
        <v>294</v>
      </c>
      <c r="L39" t="s">
        <v>50</v>
      </c>
      <c r="M39">
        <v>32</v>
      </c>
      <c r="N39">
        <v>35</v>
      </c>
      <c r="O39" t="s">
        <v>26</v>
      </c>
      <c r="P39" t="s">
        <v>1548</v>
      </c>
      <c r="Q39" t="s">
        <v>27</v>
      </c>
      <c r="R39" t="str">
        <f>VLOOKUP(C39,Tabelle1!B:C,2,0)</f>
        <v>HGDP00737</v>
      </c>
    </row>
    <row r="40" spans="1:18" x14ac:dyDescent="0.3">
      <c r="A40">
        <v>39</v>
      </c>
      <c r="B40" t="s">
        <v>1550</v>
      </c>
      <c r="C40" t="s">
        <v>1098</v>
      </c>
      <c r="D40" t="s">
        <v>1100</v>
      </c>
      <c r="E40" t="s">
        <v>1551</v>
      </c>
      <c r="F40" t="s">
        <v>112</v>
      </c>
      <c r="G40" t="s">
        <v>32</v>
      </c>
      <c r="H40" t="s">
        <v>293</v>
      </c>
      <c r="I40" t="s">
        <v>51</v>
      </c>
      <c r="J40" t="s">
        <v>37</v>
      </c>
      <c r="K40" t="s">
        <v>294</v>
      </c>
      <c r="L40" t="s">
        <v>50</v>
      </c>
      <c r="M40">
        <v>32</v>
      </c>
      <c r="N40">
        <v>35</v>
      </c>
      <c r="O40" t="s">
        <v>26</v>
      </c>
      <c r="P40" t="s">
        <v>1550</v>
      </c>
      <c r="Q40" t="s">
        <v>27</v>
      </c>
      <c r="R40" t="str">
        <f>VLOOKUP(C40,Tabelle1!B:C,2,0)</f>
        <v>HGDP00722</v>
      </c>
    </row>
    <row r="41" spans="1:18" x14ac:dyDescent="0.3">
      <c r="A41">
        <v>40</v>
      </c>
      <c r="B41" t="s">
        <v>1552</v>
      </c>
      <c r="C41" t="s">
        <v>287</v>
      </c>
      <c r="D41" t="s">
        <v>289</v>
      </c>
      <c r="E41" t="s">
        <v>1553</v>
      </c>
      <c r="F41" t="s">
        <v>112</v>
      </c>
      <c r="G41" t="s">
        <v>32</v>
      </c>
      <c r="H41" t="s">
        <v>73</v>
      </c>
      <c r="I41" t="s">
        <v>51</v>
      </c>
      <c r="J41" t="s">
        <v>56</v>
      </c>
      <c r="K41" t="s">
        <v>74</v>
      </c>
      <c r="L41" t="s">
        <v>50</v>
      </c>
      <c r="M41">
        <v>-18.899999999999999</v>
      </c>
      <c r="N41">
        <v>21.5</v>
      </c>
      <c r="O41" t="s">
        <v>26</v>
      </c>
      <c r="P41" t="s">
        <v>1552</v>
      </c>
      <c r="Q41" t="s">
        <v>27</v>
      </c>
      <c r="R41" t="str">
        <f>VLOOKUP(C41,Tabelle1!B:C,2,0)</f>
        <v>HGDP00991</v>
      </c>
    </row>
    <row r="42" spans="1:18" x14ac:dyDescent="0.3">
      <c r="A42">
        <v>41</v>
      </c>
      <c r="B42" t="s">
        <v>1554</v>
      </c>
      <c r="C42" t="s">
        <v>1076</v>
      </c>
      <c r="D42" t="s">
        <v>1078</v>
      </c>
      <c r="E42" t="s">
        <v>1555</v>
      </c>
      <c r="F42" t="s">
        <v>112</v>
      </c>
      <c r="G42" t="s">
        <v>32</v>
      </c>
      <c r="H42" t="s">
        <v>73</v>
      </c>
      <c r="I42" t="s">
        <v>51</v>
      </c>
      <c r="J42" t="s">
        <v>56</v>
      </c>
      <c r="K42" t="s">
        <v>74</v>
      </c>
      <c r="L42" t="s">
        <v>50</v>
      </c>
      <c r="M42">
        <v>-18.899999999999999</v>
      </c>
      <c r="N42">
        <v>21.5</v>
      </c>
      <c r="O42" t="s">
        <v>26</v>
      </c>
      <c r="P42" t="s">
        <v>1554</v>
      </c>
      <c r="Q42" t="s">
        <v>27</v>
      </c>
      <c r="R42" t="str">
        <f>VLOOKUP(C42,Tabelle1!B:C,2,0)</f>
        <v>HGDP00987</v>
      </c>
    </row>
    <row r="43" spans="1:18" x14ac:dyDescent="0.3">
      <c r="A43">
        <v>42</v>
      </c>
      <c r="B43" t="s">
        <v>1556</v>
      </c>
      <c r="C43" t="s">
        <v>1079</v>
      </c>
      <c r="D43" t="s">
        <v>1081</v>
      </c>
      <c r="E43" t="s">
        <v>1557</v>
      </c>
      <c r="F43" t="s">
        <v>112</v>
      </c>
      <c r="G43" t="s">
        <v>32</v>
      </c>
      <c r="H43" t="s">
        <v>73</v>
      </c>
      <c r="I43" t="s">
        <v>51</v>
      </c>
      <c r="J43" t="s">
        <v>56</v>
      </c>
      <c r="K43" t="s">
        <v>74</v>
      </c>
      <c r="L43" t="s">
        <v>50</v>
      </c>
      <c r="M43">
        <v>-18.899999999999999</v>
      </c>
      <c r="N43">
        <v>21.5</v>
      </c>
      <c r="O43" t="s">
        <v>26</v>
      </c>
      <c r="P43" t="s">
        <v>1556</v>
      </c>
      <c r="Q43" t="s">
        <v>27</v>
      </c>
      <c r="R43" t="str">
        <f>VLOOKUP(C43,Tabelle1!B:C,2,0)</f>
        <v>HGDP01032</v>
      </c>
    </row>
    <row r="44" spans="1:18" x14ac:dyDescent="0.3">
      <c r="A44">
        <v>43</v>
      </c>
      <c r="B44" t="s">
        <v>1558</v>
      </c>
      <c r="C44" t="s">
        <v>450</v>
      </c>
      <c r="D44" t="s">
        <v>453</v>
      </c>
      <c r="E44" t="s">
        <v>1559</v>
      </c>
      <c r="F44" t="s">
        <v>112</v>
      </c>
      <c r="G44" t="s">
        <v>32</v>
      </c>
      <c r="H44" t="s">
        <v>55</v>
      </c>
      <c r="I44" t="s">
        <v>59</v>
      </c>
      <c r="J44" t="s">
        <v>56</v>
      </c>
      <c r="K44" t="s">
        <v>57</v>
      </c>
      <c r="L44" t="s">
        <v>58</v>
      </c>
      <c r="M44">
        <v>8.8000000000000007</v>
      </c>
      <c r="N44">
        <v>27.4</v>
      </c>
      <c r="O44" t="s">
        <v>60</v>
      </c>
      <c r="P44" t="s">
        <v>1558</v>
      </c>
      <c r="Q44" t="s">
        <v>27</v>
      </c>
      <c r="R44" t="str">
        <f>VLOOKUP(C44,Tabelle1!B:C,2,0)</f>
        <v>DNK05</v>
      </c>
    </row>
    <row r="45" spans="1:18" x14ac:dyDescent="0.3">
      <c r="A45">
        <v>44</v>
      </c>
      <c r="B45" t="s">
        <v>1560</v>
      </c>
      <c r="C45" t="s">
        <v>454</v>
      </c>
      <c r="D45" t="s">
        <v>456</v>
      </c>
      <c r="E45" t="s">
        <v>1561</v>
      </c>
      <c r="F45" t="s">
        <v>112</v>
      </c>
      <c r="G45" t="s">
        <v>32</v>
      </c>
      <c r="H45" t="s">
        <v>55</v>
      </c>
      <c r="I45" t="s">
        <v>59</v>
      </c>
      <c r="J45" t="s">
        <v>56</v>
      </c>
      <c r="K45" t="s">
        <v>57</v>
      </c>
      <c r="L45" t="s">
        <v>58</v>
      </c>
      <c r="M45">
        <v>8.8000000000000007</v>
      </c>
      <c r="N45">
        <v>27.4</v>
      </c>
      <c r="O45" t="s">
        <v>60</v>
      </c>
      <c r="P45" t="s">
        <v>1560</v>
      </c>
      <c r="Q45" t="s">
        <v>27</v>
      </c>
      <c r="R45" t="str">
        <f>VLOOKUP(C45,Tabelle1!B:C,2,0)</f>
        <v>DNK11</v>
      </c>
    </row>
    <row r="46" spans="1:18" x14ac:dyDescent="0.3">
      <c r="A46">
        <v>45</v>
      </c>
      <c r="B46" t="s">
        <v>1562</v>
      </c>
      <c r="C46" t="s">
        <v>184</v>
      </c>
      <c r="D46" t="s">
        <v>186</v>
      </c>
      <c r="E46" t="s">
        <v>1563</v>
      </c>
      <c r="F46" t="s">
        <v>112</v>
      </c>
      <c r="G46" t="s">
        <v>25</v>
      </c>
      <c r="H46" t="s">
        <v>187</v>
      </c>
      <c r="I46" t="s">
        <v>190</v>
      </c>
      <c r="J46" t="s">
        <v>37</v>
      </c>
      <c r="K46" t="s">
        <v>188</v>
      </c>
      <c r="L46" t="s">
        <v>189</v>
      </c>
      <c r="M46">
        <v>60.4</v>
      </c>
      <c r="N46">
        <v>5.4</v>
      </c>
      <c r="O46" t="s">
        <v>121</v>
      </c>
      <c r="P46" t="s">
        <v>1562</v>
      </c>
      <c r="Q46" t="s">
        <v>27</v>
      </c>
      <c r="R46" t="str">
        <f>VLOOKUP(C46,Tabelle1!B:C,2,0)</f>
        <v>NOR111</v>
      </c>
    </row>
    <row r="47" spans="1:18" x14ac:dyDescent="0.3">
      <c r="A47">
        <v>46</v>
      </c>
      <c r="B47" t="s">
        <v>1564</v>
      </c>
      <c r="C47" t="s">
        <v>442</v>
      </c>
      <c r="D47" t="s">
        <v>444</v>
      </c>
      <c r="E47" t="s">
        <v>1565</v>
      </c>
      <c r="F47" t="s">
        <v>112</v>
      </c>
      <c r="G47" t="s">
        <v>32</v>
      </c>
      <c r="H47" t="s">
        <v>445</v>
      </c>
      <c r="I47" t="s">
        <v>51</v>
      </c>
      <c r="J47" t="s">
        <v>48</v>
      </c>
      <c r="K47" t="s">
        <v>446</v>
      </c>
      <c r="L47" t="s">
        <v>50</v>
      </c>
      <c r="M47">
        <v>12</v>
      </c>
      <c r="N47">
        <v>105</v>
      </c>
      <c r="O47" t="s">
        <v>26</v>
      </c>
      <c r="P47" t="s">
        <v>1564</v>
      </c>
      <c r="Q47" t="s">
        <v>27</v>
      </c>
      <c r="R47" t="str">
        <f>VLOOKUP(C47,Tabelle1!B:C,2,0)</f>
        <v>HGDP00717</v>
      </c>
    </row>
    <row r="48" spans="1:18" x14ac:dyDescent="0.3">
      <c r="A48">
        <v>47</v>
      </c>
      <c r="B48" t="s">
        <v>1566</v>
      </c>
      <c r="C48" t="s">
        <v>447</v>
      </c>
      <c r="D48" t="s">
        <v>449</v>
      </c>
      <c r="E48" t="s">
        <v>1567</v>
      </c>
      <c r="F48" t="s">
        <v>112</v>
      </c>
      <c r="G48" t="s">
        <v>120</v>
      </c>
      <c r="H48" t="s">
        <v>445</v>
      </c>
      <c r="I48" t="s">
        <v>51</v>
      </c>
      <c r="J48" t="s">
        <v>48</v>
      </c>
      <c r="K48" t="s">
        <v>446</v>
      </c>
      <c r="L48" t="s">
        <v>50</v>
      </c>
      <c r="M48">
        <v>12</v>
      </c>
      <c r="N48">
        <v>105</v>
      </c>
      <c r="O48" t="s">
        <v>26</v>
      </c>
      <c r="P48" t="s">
        <v>1566</v>
      </c>
      <c r="Q48" t="s">
        <v>27</v>
      </c>
      <c r="R48" t="str">
        <f>VLOOKUP(C48,Tabelle1!B:C,2,0)</f>
        <v>HGDP00713</v>
      </c>
    </row>
    <row r="49" spans="1:18" x14ac:dyDescent="0.3">
      <c r="A49">
        <v>48</v>
      </c>
      <c r="B49" t="s">
        <v>1568</v>
      </c>
      <c r="C49" t="s">
        <v>482</v>
      </c>
      <c r="D49" t="s">
        <v>484</v>
      </c>
      <c r="E49" t="s">
        <v>1569</v>
      </c>
      <c r="F49" t="s">
        <v>112</v>
      </c>
      <c r="G49" t="s">
        <v>120</v>
      </c>
      <c r="H49" t="s">
        <v>479</v>
      </c>
      <c r="I49" t="s">
        <v>300</v>
      </c>
      <c r="J49" t="s">
        <v>37</v>
      </c>
      <c r="K49" t="s">
        <v>480</v>
      </c>
      <c r="L49" t="s">
        <v>481</v>
      </c>
      <c r="M49">
        <v>51.2</v>
      </c>
      <c r="N49">
        <v>0.7</v>
      </c>
      <c r="O49" t="s">
        <v>26</v>
      </c>
      <c r="P49" t="s">
        <v>1568</v>
      </c>
      <c r="Q49" t="s">
        <v>27</v>
      </c>
      <c r="R49" t="str">
        <f>VLOOKUP(C49,Tabelle1!B:C,2,0)</f>
        <v>HG00128</v>
      </c>
    </row>
    <row r="50" spans="1:18" x14ac:dyDescent="0.3">
      <c r="A50">
        <v>49</v>
      </c>
      <c r="B50" t="s">
        <v>1570</v>
      </c>
      <c r="C50" t="s">
        <v>476</v>
      </c>
      <c r="D50" t="s">
        <v>478</v>
      </c>
      <c r="E50" t="s">
        <v>1571</v>
      </c>
      <c r="F50" t="s">
        <v>112</v>
      </c>
      <c r="G50" t="s">
        <v>32</v>
      </c>
      <c r="H50" t="s">
        <v>479</v>
      </c>
      <c r="I50" t="s">
        <v>300</v>
      </c>
      <c r="J50" t="s">
        <v>37</v>
      </c>
      <c r="K50" t="s">
        <v>480</v>
      </c>
      <c r="L50" t="s">
        <v>481</v>
      </c>
      <c r="M50">
        <v>51.2</v>
      </c>
      <c r="N50">
        <v>0.7</v>
      </c>
      <c r="O50" t="s">
        <v>26</v>
      </c>
      <c r="P50" t="s">
        <v>1570</v>
      </c>
      <c r="Q50" t="s">
        <v>27</v>
      </c>
      <c r="R50" t="str">
        <f>VLOOKUP(C50,Tabelle1!B:C,2,0)</f>
        <v>HG00126</v>
      </c>
    </row>
    <row r="51" spans="1:18" x14ac:dyDescent="0.3">
      <c r="A51">
        <v>50</v>
      </c>
      <c r="B51" t="s">
        <v>1572</v>
      </c>
      <c r="C51" t="s">
        <v>733</v>
      </c>
      <c r="D51" t="s">
        <v>735</v>
      </c>
      <c r="E51" t="s">
        <v>1573</v>
      </c>
      <c r="F51" t="s">
        <v>112</v>
      </c>
      <c r="G51" t="s">
        <v>32</v>
      </c>
      <c r="H51" t="s">
        <v>736</v>
      </c>
      <c r="I51" t="s">
        <v>178</v>
      </c>
      <c r="J51" t="s">
        <v>176</v>
      </c>
      <c r="K51" t="s">
        <v>177</v>
      </c>
      <c r="L51" t="s">
        <v>403</v>
      </c>
      <c r="M51">
        <v>17.7</v>
      </c>
      <c r="N51">
        <v>83.3</v>
      </c>
      <c r="O51" t="s">
        <v>121</v>
      </c>
      <c r="P51" t="s">
        <v>1572</v>
      </c>
      <c r="Q51" t="s">
        <v>27</v>
      </c>
      <c r="R51" t="str">
        <f>VLOOKUP(C51,Tabelle1!B:C,2,0)</f>
        <v>ML2</v>
      </c>
    </row>
    <row r="52" spans="1:18" x14ac:dyDescent="0.3">
      <c r="A52">
        <v>51</v>
      </c>
      <c r="B52" t="s">
        <v>1574</v>
      </c>
      <c r="C52" t="s">
        <v>737</v>
      </c>
      <c r="D52" t="s">
        <v>739</v>
      </c>
      <c r="E52" t="s">
        <v>1575</v>
      </c>
      <c r="F52" t="s">
        <v>112</v>
      </c>
      <c r="G52" t="s">
        <v>32</v>
      </c>
      <c r="H52" t="s">
        <v>736</v>
      </c>
      <c r="I52" t="s">
        <v>178</v>
      </c>
      <c r="J52" t="s">
        <v>176</v>
      </c>
      <c r="K52" t="s">
        <v>177</v>
      </c>
      <c r="L52" t="s">
        <v>403</v>
      </c>
      <c r="M52">
        <v>17.7</v>
      </c>
      <c r="N52">
        <v>83.3</v>
      </c>
      <c r="O52" t="s">
        <v>121</v>
      </c>
      <c r="P52" t="s">
        <v>1574</v>
      </c>
      <c r="Q52" t="s">
        <v>27</v>
      </c>
      <c r="R52" t="str">
        <f>VLOOKUP(C52,Tabelle1!B:C,2,0)</f>
        <v>ML3</v>
      </c>
    </row>
    <row r="53" spans="1:18" x14ac:dyDescent="0.3">
      <c r="A53">
        <v>52</v>
      </c>
      <c r="B53" t="s">
        <v>1576</v>
      </c>
      <c r="C53" t="s">
        <v>838</v>
      </c>
      <c r="D53" t="s">
        <v>840</v>
      </c>
      <c r="E53" t="s">
        <v>1577</v>
      </c>
      <c r="F53" t="s">
        <v>112</v>
      </c>
      <c r="G53" t="s">
        <v>32</v>
      </c>
      <c r="H53" t="s">
        <v>841</v>
      </c>
      <c r="I53" t="s">
        <v>178</v>
      </c>
      <c r="J53" t="s">
        <v>176</v>
      </c>
      <c r="K53" t="s">
        <v>177</v>
      </c>
      <c r="L53" t="s">
        <v>403</v>
      </c>
      <c r="M53">
        <v>17.7</v>
      </c>
      <c r="N53">
        <v>83.3</v>
      </c>
      <c r="O53" t="s">
        <v>121</v>
      </c>
      <c r="P53" t="s">
        <v>1576</v>
      </c>
      <c r="Q53" t="s">
        <v>27</v>
      </c>
      <c r="R53" t="str">
        <f>VLOOKUP(C53,Tabelle1!B:C,2,0)</f>
        <v>R3</v>
      </c>
    </row>
    <row r="54" spans="1:18" x14ac:dyDescent="0.3">
      <c r="A54">
        <v>53</v>
      </c>
      <c r="B54" t="s">
        <v>1578</v>
      </c>
      <c r="C54" t="s">
        <v>842</v>
      </c>
      <c r="D54" t="s">
        <v>844</v>
      </c>
      <c r="E54" t="s">
        <v>1579</v>
      </c>
      <c r="F54" t="s">
        <v>112</v>
      </c>
      <c r="G54" t="s">
        <v>32</v>
      </c>
      <c r="H54" t="s">
        <v>841</v>
      </c>
      <c r="I54" t="s">
        <v>178</v>
      </c>
      <c r="J54" t="s">
        <v>176</v>
      </c>
      <c r="K54" t="s">
        <v>177</v>
      </c>
      <c r="L54" t="s">
        <v>403</v>
      </c>
      <c r="M54">
        <v>17.7</v>
      </c>
      <c r="N54">
        <v>83.3</v>
      </c>
      <c r="O54" t="s">
        <v>121</v>
      </c>
      <c r="P54" t="s">
        <v>1578</v>
      </c>
      <c r="Q54" t="s">
        <v>27</v>
      </c>
      <c r="R54" t="str">
        <f>VLOOKUP(C54,Tabelle1!B:C,2,0)</f>
        <v>R6</v>
      </c>
    </row>
    <row r="55" spans="1:18" x14ac:dyDescent="0.3">
      <c r="A55">
        <v>54</v>
      </c>
      <c r="B55" t="s">
        <v>1580</v>
      </c>
      <c r="C55" t="s">
        <v>852</v>
      </c>
      <c r="D55" t="s">
        <v>854</v>
      </c>
      <c r="E55" t="s">
        <v>1581</v>
      </c>
      <c r="F55" t="s">
        <v>112</v>
      </c>
      <c r="G55" t="s">
        <v>32</v>
      </c>
      <c r="H55" t="s">
        <v>848</v>
      </c>
      <c r="I55" t="s">
        <v>851</v>
      </c>
      <c r="J55" t="s">
        <v>37</v>
      </c>
      <c r="K55" t="s">
        <v>849</v>
      </c>
      <c r="L55" t="s">
        <v>850</v>
      </c>
      <c r="M55">
        <v>69.900000000000006</v>
      </c>
      <c r="N55">
        <v>27</v>
      </c>
      <c r="O55" t="s">
        <v>60</v>
      </c>
      <c r="P55" t="s">
        <v>1580</v>
      </c>
      <c r="Q55" t="s">
        <v>27</v>
      </c>
      <c r="R55" t="str">
        <f>VLOOKUP(C55,Tabelle1!B:C,2,0)</f>
        <v>Utsa22</v>
      </c>
    </row>
    <row r="56" spans="1:18" x14ac:dyDescent="0.3">
      <c r="A56">
        <v>55</v>
      </c>
      <c r="B56" t="s">
        <v>1582</v>
      </c>
      <c r="C56" t="s">
        <v>845</v>
      </c>
      <c r="D56" t="s">
        <v>847</v>
      </c>
      <c r="E56" t="s">
        <v>1583</v>
      </c>
      <c r="F56" t="s">
        <v>112</v>
      </c>
      <c r="G56" t="s">
        <v>120</v>
      </c>
      <c r="H56" t="s">
        <v>848</v>
      </c>
      <c r="I56" t="s">
        <v>851</v>
      </c>
      <c r="J56" t="s">
        <v>37</v>
      </c>
      <c r="K56" t="s">
        <v>849</v>
      </c>
      <c r="L56" t="s">
        <v>850</v>
      </c>
      <c r="M56">
        <v>69.900000000000006</v>
      </c>
      <c r="N56">
        <v>27</v>
      </c>
      <c r="O56" t="s">
        <v>60</v>
      </c>
      <c r="P56" t="s">
        <v>1582</v>
      </c>
      <c r="Q56" t="s">
        <v>27</v>
      </c>
      <c r="R56" t="str">
        <f>VLOOKUP(C56,Tabelle1!B:C,2,0)</f>
        <v>Utsa21</v>
      </c>
    </row>
    <row r="57" spans="1:18" x14ac:dyDescent="0.3">
      <c r="A57">
        <v>56</v>
      </c>
      <c r="B57" t="s">
        <v>1584</v>
      </c>
      <c r="C57" t="s">
        <v>152</v>
      </c>
      <c r="D57" t="s">
        <v>154</v>
      </c>
      <c r="E57" t="s">
        <v>1585</v>
      </c>
      <c r="F57" t="s">
        <v>112</v>
      </c>
      <c r="G57" t="s">
        <v>32</v>
      </c>
      <c r="H57" t="s">
        <v>155</v>
      </c>
      <c r="I57" t="s">
        <v>134</v>
      </c>
      <c r="J57" t="s">
        <v>37</v>
      </c>
      <c r="K57" t="s">
        <v>156</v>
      </c>
      <c r="L57" t="s">
        <v>23</v>
      </c>
      <c r="M57">
        <v>50.1</v>
      </c>
      <c r="N57">
        <v>14.4</v>
      </c>
      <c r="O57" t="s">
        <v>26</v>
      </c>
      <c r="P57" t="s">
        <v>1584</v>
      </c>
      <c r="Q57" t="s">
        <v>27</v>
      </c>
      <c r="R57" t="str">
        <f>VLOOKUP(C57,Tabelle1!B:C,2,0)</f>
        <v>NA15728</v>
      </c>
    </row>
    <row r="58" spans="1:18" x14ac:dyDescent="0.3">
      <c r="A58">
        <v>57</v>
      </c>
      <c r="B58" t="s">
        <v>1586</v>
      </c>
      <c r="C58" t="s">
        <v>813</v>
      </c>
      <c r="D58" t="s">
        <v>815</v>
      </c>
      <c r="E58" t="s">
        <v>1587</v>
      </c>
      <c r="F58" t="s">
        <v>112</v>
      </c>
      <c r="G58" t="s">
        <v>120</v>
      </c>
      <c r="H58" t="s">
        <v>811</v>
      </c>
      <c r="I58" t="s">
        <v>51</v>
      </c>
      <c r="J58" t="s">
        <v>37</v>
      </c>
      <c r="K58" t="s">
        <v>812</v>
      </c>
      <c r="L58" t="s">
        <v>50</v>
      </c>
      <c r="M58">
        <v>59</v>
      </c>
      <c r="N58">
        <v>-3</v>
      </c>
      <c r="O58" t="s">
        <v>26</v>
      </c>
      <c r="P58" t="s">
        <v>1586</v>
      </c>
      <c r="Q58" t="s">
        <v>27</v>
      </c>
      <c r="R58" t="str">
        <f>VLOOKUP(C58,Tabelle1!B:C,2,0)</f>
        <v>HGDP00796</v>
      </c>
    </row>
    <row r="59" spans="1:18" x14ac:dyDescent="0.3">
      <c r="A59">
        <v>58</v>
      </c>
      <c r="B59" t="s">
        <v>1588</v>
      </c>
      <c r="C59" t="s">
        <v>808</v>
      </c>
      <c r="D59" t="s">
        <v>810</v>
      </c>
      <c r="E59" t="s">
        <v>1589</v>
      </c>
      <c r="F59" t="s">
        <v>112</v>
      </c>
      <c r="G59" t="s">
        <v>32</v>
      </c>
      <c r="H59" t="s">
        <v>811</v>
      </c>
      <c r="I59" t="s">
        <v>51</v>
      </c>
      <c r="J59" t="s">
        <v>37</v>
      </c>
      <c r="K59" t="s">
        <v>812</v>
      </c>
      <c r="L59" t="s">
        <v>50</v>
      </c>
      <c r="M59">
        <v>59</v>
      </c>
      <c r="N59">
        <v>-3</v>
      </c>
      <c r="O59" t="s">
        <v>26</v>
      </c>
      <c r="P59" t="s">
        <v>1588</v>
      </c>
      <c r="Q59" t="s">
        <v>27</v>
      </c>
      <c r="R59" t="str">
        <f>VLOOKUP(C59,Tabelle1!B:C,2,0)</f>
        <v>HGDP00798</v>
      </c>
    </row>
    <row r="60" spans="1:18" x14ac:dyDescent="0.3">
      <c r="A60">
        <v>59</v>
      </c>
      <c r="B60" t="s">
        <v>1590</v>
      </c>
      <c r="C60" t="s">
        <v>891</v>
      </c>
      <c r="D60" t="s">
        <v>893</v>
      </c>
      <c r="E60" t="s">
        <v>1591</v>
      </c>
      <c r="F60" t="s">
        <v>112</v>
      </c>
      <c r="G60" t="s">
        <v>120</v>
      </c>
      <c r="H60" t="s">
        <v>888</v>
      </c>
      <c r="I60" t="s">
        <v>300</v>
      </c>
      <c r="J60" t="s">
        <v>37</v>
      </c>
      <c r="K60" t="s">
        <v>889</v>
      </c>
      <c r="L60" t="s">
        <v>890</v>
      </c>
      <c r="M60">
        <v>39.9</v>
      </c>
      <c r="N60">
        <v>-4</v>
      </c>
      <c r="O60" t="s">
        <v>26</v>
      </c>
      <c r="P60" t="s">
        <v>1590</v>
      </c>
      <c r="Q60" t="s">
        <v>27</v>
      </c>
      <c r="R60" t="str">
        <f>VLOOKUP(C60,Tabelle1!B:C,2,0)</f>
        <v>HG01504</v>
      </c>
    </row>
    <row r="61" spans="1:18" x14ac:dyDescent="0.3">
      <c r="A61">
        <v>60</v>
      </c>
      <c r="B61" t="s">
        <v>1592</v>
      </c>
      <c r="C61" t="s">
        <v>885</v>
      </c>
      <c r="D61" t="s">
        <v>887</v>
      </c>
      <c r="E61" t="s">
        <v>1593</v>
      </c>
      <c r="F61" t="s">
        <v>112</v>
      </c>
      <c r="G61" t="s">
        <v>32</v>
      </c>
      <c r="H61" t="s">
        <v>888</v>
      </c>
      <c r="I61" t="s">
        <v>300</v>
      </c>
      <c r="J61" t="s">
        <v>37</v>
      </c>
      <c r="K61" t="s">
        <v>889</v>
      </c>
      <c r="L61" t="s">
        <v>890</v>
      </c>
      <c r="M61">
        <v>39.9</v>
      </c>
      <c r="N61">
        <v>-4</v>
      </c>
      <c r="O61" t="s">
        <v>26</v>
      </c>
      <c r="P61" t="s">
        <v>1592</v>
      </c>
      <c r="Q61" t="s">
        <v>27</v>
      </c>
      <c r="R61" t="str">
        <f>VLOOKUP(C61,Tabelle1!B:C,2,0)</f>
        <v>HG01503</v>
      </c>
    </row>
    <row r="62" spans="1:18" x14ac:dyDescent="0.3">
      <c r="A62">
        <v>61</v>
      </c>
      <c r="B62" t="s">
        <v>1594</v>
      </c>
      <c r="C62" t="s">
        <v>172</v>
      </c>
      <c r="D62" t="s">
        <v>174</v>
      </c>
      <c r="E62" t="s">
        <v>1595</v>
      </c>
      <c r="F62" t="s">
        <v>112</v>
      </c>
      <c r="G62" t="s">
        <v>32</v>
      </c>
      <c r="H62" t="s">
        <v>175</v>
      </c>
      <c r="I62" t="s">
        <v>178</v>
      </c>
      <c r="J62" t="s">
        <v>176</v>
      </c>
      <c r="K62" t="s">
        <v>177</v>
      </c>
      <c r="L62" t="s">
        <v>50</v>
      </c>
      <c r="M62">
        <v>18.3</v>
      </c>
      <c r="N62">
        <v>82.9</v>
      </c>
      <c r="O62" t="s">
        <v>121</v>
      </c>
      <c r="P62" t="s">
        <v>1594</v>
      </c>
      <c r="Q62" t="s">
        <v>27</v>
      </c>
      <c r="R62" t="str">
        <f>VLOOKUP(C62,Tabelle1!B:C,2,0)</f>
        <v>KD4</v>
      </c>
    </row>
    <row r="63" spans="1:18" x14ac:dyDescent="0.3">
      <c r="A63">
        <v>62</v>
      </c>
      <c r="B63" t="s">
        <v>1596</v>
      </c>
      <c r="C63" t="s">
        <v>135</v>
      </c>
      <c r="D63" t="s">
        <v>137</v>
      </c>
      <c r="E63" t="s">
        <v>1597</v>
      </c>
      <c r="F63" t="s">
        <v>112</v>
      </c>
      <c r="G63" t="s">
        <v>32</v>
      </c>
      <c r="H63" t="s">
        <v>138</v>
      </c>
      <c r="I63" t="s">
        <v>1598</v>
      </c>
      <c r="J63" t="s">
        <v>79</v>
      </c>
      <c r="K63" t="s">
        <v>139</v>
      </c>
      <c r="L63" t="s">
        <v>1599</v>
      </c>
      <c r="M63">
        <v>-22.53</v>
      </c>
      <c r="N63">
        <v>-63.82</v>
      </c>
      <c r="O63" t="s">
        <v>121</v>
      </c>
      <c r="P63" t="s">
        <v>1596</v>
      </c>
      <c r="Q63" t="s">
        <v>27</v>
      </c>
      <c r="R63" t="str">
        <f>VLOOKUP(C63,Tabelle1!B:C,2,0)</f>
        <v>TGBS21</v>
      </c>
    </row>
    <row r="64" spans="1:18" x14ac:dyDescent="0.3">
      <c r="A64">
        <v>63</v>
      </c>
      <c r="B64" t="s">
        <v>1600</v>
      </c>
      <c r="C64" t="s">
        <v>539</v>
      </c>
      <c r="D64" t="s">
        <v>541</v>
      </c>
      <c r="E64" t="s">
        <v>1601</v>
      </c>
      <c r="F64" t="s">
        <v>112</v>
      </c>
      <c r="G64" t="s">
        <v>32</v>
      </c>
      <c r="H64" t="s">
        <v>536</v>
      </c>
      <c r="I64" t="s">
        <v>146</v>
      </c>
      <c r="J64" t="s">
        <v>37</v>
      </c>
      <c r="K64" t="s">
        <v>537</v>
      </c>
      <c r="L64" t="s">
        <v>538</v>
      </c>
      <c r="M64">
        <v>42.5</v>
      </c>
      <c r="N64">
        <v>41.85</v>
      </c>
      <c r="O64" t="s">
        <v>121</v>
      </c>
      <c r="P64" t="s">
        <v>1600</v>
      </c>
      <c r="Q64" t="s">
        <v>27</v>
      </c>
      <c r="R64" t="str">
        <f>VLOOKUP(C64,Tabelle1!B:C,2,0)</f>
        <v>mg31</v>
      </c>
    </row>
    <row r="65" spans="1:18" x14ac:dyDescent="0.3">
      <c r="A65">
        <v>64</v>
      </c>
      <c r="B65" t="s">
        <v>1602</v>
      </c>
      <c r="C65" t="s">
        <v>533</v>
      </c>
      <c r="D65" t="s">
        <v>535</v>
      </c>
      <c r="E65" t="s">
        <v>1603</v>
      </c>
      <c r="F65" t="s">
        <v>112</v>
      </c>
      <c r="G65" t="s">
        <v>32</v>
      </c>
      <c r="H65" t="s">
        <v>536</v>
      </c>
      <c r="I65" t="s">
        <v>146</v>
      </c>
      <c r="J65" t="s">
        <v>37</v>
      </c>
      <c r="K65" t="s">
        <v>537</v>
      </c>
      <c r="L65" t="s">
        <v>538</v>
      </c>
      <c r="M65">
        <v>42.5</v>
      </c>
      <c r="N65">
        <v>41.85</v>
      </c>
      <c r="O65" t="s">
        <v>121</v>
      </c>
      <c r="P65" t="s">
        <v>1602</v>
      </c>
      <c r="Q65" t="s">
        <v>27</v>
      </c>
      <c r="R65" t="str">
        <f>VLOOKUP(C65,Tabelle1!B:C,2,0)</f>
        <v>mg27</v>
      </c>
    </row>
    <row r="66" spans="1:18" x14ac:dyDescent="0.3">
      <c r="A66">
        <v>65</v>
      </c>
      <c r="B66" t="s">
        <v>1604</v>
      </c>
      <c r="C66" t="s">
        <v>203</v>
      </c>
      <c r="D66" t="s">
        <v>205</v>
      </c>
      <c r="E66" t="s">
        <v>1605</v>
      </c>
      <c r="F66" t="s">
        <v>112</v>
      </c>
      <c r="G66" t="s">
        <v>120</v>
      </c>
      <c r="H66" t="s">
        <v>206</v>
      </c>
      <c r="I66" t="s">
        <v>209</v>
      </c>
      <c r="J66" t="s">
        <v>56</v>
      </c>
      <c r="K66" t="s">
        <v>207</v>
      </c>
      <c r="L66" t="s">
        <v>208</v>
      </c>
      <c r="M66">
        <v>5.6</v>
      </c>
      <c r="N66">
        <v>48.3</v>
      </c>
      <c r="O66" t="s">
        <v>121</v>
      </c>
      <c r="P66" t="s">
        <v>1604</v>
      </c>
      <c r="Q66" t="s">
        <v>27</v>
      </c>
      <c r="R66" t="str">
        <f>VLOOKUP(C66,Tabelle1!B:C,2,0)</f>
        <v>Ayodo_81S</v>
      </c>
    </row>
    <row r="67" spans="1:18" x14ac:dyDescent="0.3">
      <c r="A67">
        <v>66</v>
      </c>
      <c r="B67" t="s">
        <v>1606</v>
      </c>
      <c r="C67" t="s">
        <v>75</v>
      </c>
      <c r="D67" t="s">
        <v>77</v>
      </c>
      <c r="E67" t="s">
        <v>1607</v>
      </c>
      <c r="F67" t="s">
        <v>16</v>
      </c>
      <c r="G67" t="s">
        <v>32</v>
      </c>
      <c r="H67" t="s">
        <v>78</v>
      </c>
      <c r="I67" t="s">
        <v>51</v>
      </c>
      <c r="J67" t="s">
        <v>79</v>
      </c>
      <c r="K67" t="s">
        <v>80</v>
      </c>
      <c r="L67" t="s">
        <v>50</v>
      </c>
      <c r="M67">
        <v>-10</v>
      </c>
      <c r="N67">
        <v>-63</v>
      </c>
      <c r="O67" t="s">
        <v>26</v>
      </c>
      <c r="P67" t="s">
        <v>1606</v>
      </c>
      <c r="Q67" t="s">
        <v>27</v>
      </c>
      <c r="R67" t="str">
        <f>VLOOKUP(C67,Tabelle1!B:C,2,0)</f>
        <v>HGDP01015</v>
      </c>
    </row>
    <row r="68" spans="1:18" x14ac:dyDescent="0.3">
      <c r="A68">
        <v>67</v>
      </c>
      <c r="B68" t="s">
        <v>1608</v>
      </c>
      <c r="C68" t="s">
        <v>66</v>
      </c>
      <c r="D68" t="s">
        <v>68</v>
      </c>
      <c r="E68" t="s">
        <v>1609</v>
      </c>
      <c r="F68" t="s">
        <v>16</v>
      </c>
      <c r="G68" t="s">
        <v>32</v>
      </c>
      <c r="H68" t="s">
        <v>69</v>
      </c>
      <c r="I68" t="s">
        <v>51</v>
      </c>
      <c r="J68" t="s">
        <v>48</v>
      </c>
      <c r="K68" t="s">
        <v>49</v>
      </c>
      <c r="L68" t="s">
        <v>50</v>
      </c>
      <c r="M68">
        <v>32.265668120000001</v>
      </c>
      <c r="N68">
        <v>114</v>
      </c>
      <c r="O68" t="s">
        <v>26</v>
      </c>
      <c r="P68" t="s">
        <v>1608</v>
      </c>
      <c r="Q68" t="s">
        <v>27</v>
      </c>
      <c r="R68" t="str">
        <f>VLOOKUP(C68,Tabelle1!B:C,2,0)</f>
        <v>HGDP00775</v>
      </c>
    </row>
    <row r="69" spans="1:18" x14ac:dyDescent="0.3">
      <c r="A69">
        <v>68</v>
      </c>
      <c r="B69" t="s">
        <v>1610</v>
      </c>
      <c r="C69" t="s">
        <v>210</v>
      </c>
      <c r="D69" t="s">
        <v>212</v>
      </c>
      <c r="E69" t="s">
        <v>1611</v>
      </c>
      <c r="F69" t="s">
        <v>112</v>
      </c>
      <c r="G69" t="s">
        <v>32</v>
      </c>
      <c r="H69" t="s">
        <v>213</v>
      </c>
      <c r="I69" t="s">
        <v>216</v>
      </c>
      <c r="J69" t="s">
        <v>37</v>
      </c>
      <c r="K69" t="s">
        <v>214</v>
      </c>
      <c r="L69" t="s">
        <v>215</v>
      </c>
      <c r="M69">
        <v>39.814999999999998</v>
      </c>
      <c r="N69">
        <v>46.752000000000002</v>
      </c>
      <c r="O69" t="s">
        <v>121</v>
      </c>
      <c r="P69" t="s">
        <v>1610</v>
      </c>
      <c r="Q69" t="s">
        <v>27</v>
      </c>
      <c r="R69" t="str">
        <f>VLOOKUP(C69,Tabelle1!B:C,2,0)</f>
        <v>armenia293</v>
      </c>
    </row>
    <row r="70" spans="1:18" x14ac:dyDescent="0.3">
      <c r="A70">
        <v>69</v>
      </c>
      <c r="B70" t="s">
        <v>1612</v>
      </c>
      <c r="C70" t="s">
        <v>217</v>
      </c>
      <c r="D70" t="s">
        <v>219</v>
      </c>
      <c r="E70" t="s">
        <v>1613</v>
      </c>
      <c r="F70" t="s">
        <v>112</v>
      </c>
      <c r="G70" t="s">
        <v>32</v>
      </c>
      <c r="H70" t="s">
        <v>213</v>
      </c>
      <c r="I70" t="s">
        <v>216</v>
      </c>
      <c r="J70" t="s">
        <v>37</v>
      </c>
      <c r="K70" t="s">
        <v>214</v>
      </c>
      <c r="L70" t="s">
        <v>220</v>
      </c>
      <c r="M70">
        <v>40.604999999999997</v>
      </c>
      <c r="N70">
        <v>43.100999999999999</v>
      </c>
      <c r="O70" t="s">
        <v>121</v>
      </c>
      <c r="P70" t="s">
        <v>1612</v>
      </c>
      <c r="Q70" t="s">
        <v>27</v>
      </c>
      <c r="R70" t="str">
        <f>VLOOKUP(C70,Tabelle1!B:C,2,0)</f>
        <v>Armenian222</v>
      </c>
    </row>
    <row r="71" spans="1:18" x14ac:dyDescent="0.3">
      <c r="A71">
        <v>70</v>
      </c>
      <c r="B71" t="s">
        <v>1614</v>
      </c>
      <c r="C71" t="s">
        <v>901</v>
      </c>
      <c r="D71" t="s">
        <v>903</v>
      </c>
      <c r="E71" t="s">
        <v>1615</v>
      </c>
      <c r="F71" t="s">
        <v>112</v>
      </c>
      <c r="G71" t="s">
        <v>32</v>
      </c>
      <c r="H71" t="s">
        <v>904</v>
      </c>
      <c r="I71" t="s">
        <v>907</v>
      </c>
      <c r="J71" t="s">
        <v>37</v>
      </c>
      <c r="K71" t="s">
        <v>905</v>
      </c>
      <c r="L71" t="s">
        <v>906</v>
      </c>
      <c r="M71">
        <v>37.508000000000003</v>
      </c>
      <c r="N71">
        <v>71.567999999999998</v>
      </c>
      <c r="O71" t="s">
        <v>121</v>
      </c>
      <c r="P71" t="s">
        <v>1614</v>
      </c>
      <c r="Q71" t="s">
        <v>27</v>
      </c>
      <c r="R71" t="str">
        <f>VLOOKUP(C71,Tabelle1!B:C,2,0)</f>
        <v>tdj409_shugnan</v>
      </c>
    </row>
    <row r="72" spans="1:18" x14ac:dyDescent="0.3">
      <c r="A72">
        <v>71</v>
      </c>
      <c r="B72" t="s">
        <v>1616</v>
      </c>
      <c r="C72" t="s">
        <v>908</v>
      </c>
      <c r="D72" t="s">
        <v>910</v>
      </c>
      <c r="E72" t="s">
        <v>1617</v>
      </c>
      <c r="F72" t="s">
        <v>112</v>
      </c>
      <c r="G72" t="s">
        <v>32</v>
      </c>
      <c r="H72" t="s">
        <v>904</v>
      </c>
      <c r="I72" t="s">
        <v>907</v>
      </c>
      <c r="J72" t="s">
        <v>37</v>
      </c>
      <c r="K72" t="s">
        <v>905</v>
      </c>
      <c r="L72" t="s">
        <v>906</v>
      </c>
      <c r="M72">
        <v>37.508000000000003</v>
      </c>
      <c r="N72">
        <v>71.567999999999998</v>
      </c>
      <c r="O72" t="s">
        <v>121</v>
      </c>
      <c r="P72" t="s">
        <v>1616</v>
      </c>
      <c r="Q72" t="s">
        <v>27</v>
      </c>
      <c r="R72" t="str">
        <f>VLOOKUP(C72,Tabelle1!B:C,2,0)</f>
        <v>tdj430_shugnan</v>
      </c>
    </row>
    <row r="73" spans="1:18" x14ac:dyDescent="0.3">
      <c r="A73">
        <v>72</v>
      </c>
      <c r="B73" t="s">
        <v>1618</v>
      </c>
      <c r="C73" t="s">
        <v>492</v>
      </c>
      <c r="D73" t="s">
        <v>494</v>
      </c>
      <c r="E73" t="s">
        <v>1619</v>
      </c>
      <c r="F73" t="s">
        <v>112</v>
      </c>
      <c r="G73" t="s">
        <v>120</v>
      </c>
      <c r="H73" t="s">
        <v>495</v>
      </c>
      <c r="I73" t="s">
        <v>1480</v>
      </c>
      <c r="J73" t="s">
        <v>126</v>
      </c>
      <c r="K73" t="s">
        <v>127</v>
      </c>
      <c r="L73" t="s">
        <v>1620</v>
      </c>
      <c r="M73">
        <v>66.02</v>
      </c>
      <c r="N73">
        <v>169.71</v>
      </c>
      <c r="O73" t="s">
        <v>121</v>
      </c>
      <c r="P73" t="s">
        <v>1618</v>
      </c>
      <c r="Q73" t="s">
        <v>27</v>
      </c>
      <c r="R73" t="str">
        <f>VLOOKUP(C73,Tabelle1!B:C,2,0)</f>
        <v>Nesk_22</v>
      </c>
    </row>
    <row r="74" spans="1:18" x14ac:dyDescent="0.3">
      <c r="A74">
        <v>73</v>
      </c>
      <c r="B74" t="s">
        <v>1621</v>
      </c>
      <c r="C74" t="s">
        <v>241</v>
      </c>
      <c r="D74" t="s">
        <v>243</v>
      </c>
      <c r="E74" t="s">
        <v>1622</v>
      </c>
      <c r="F74" t="s">
        <v>112</v>
      </c>
      <c r="G74" t="s">
        <v>120</v>
      </c>
      <c r="H74" t="s">
        <v>240</v>
      </c>
      <c r="I74" t="s">
        <v>51</v>
      </c>
      <c r="J74" t="s">
        <v>48</v>
      </c>
      <c r="K74" t="s">
        <v>49</v>
      </c>
      <c r="L74" t="s">
        <v>50</v>
      </c>
      <c r="M74">
        <v>48.5</v>
      </c>
      <c r="N74">
        <v>124</v>
      </c>
      <c r="O74" t="s">
        <v>26</v>
      </c>
      <c r="P74" t="s">
        <v>1621</v>
      </c>
      <c r="Q74" t="s">
        <v>27</v>
      </c>
      <c r="R74" t="str">
        <f>VLOOKUP(C74,Tabelle1!B:C,2,0)</f>
        <v>HGDP01215</v>
      </c>
    </row>
    <row r="75" spans="1:18" x14ac:dyDescent="0.3">
      <c r="A75">
        <v>74</v>
      </c>
      <c r="B75" t="s">
        <v>1623</v>
      </c>
      <c r="C75" t="s">
        <v>599</v>
      </c>
      <c r="D75" t="s">
        <v>601</v>
      </c>
      <c r="E75" t="s">
        <v>1624</v>
      </c>
      <c r="F75" t="s">
        <v>112</v>
      </c>
      <c r="G75" t="s">
        <v>32</v>
      </c>
      <c r="H75" t="s">
        <v>597</v>
      </c>
      <c r="I75" t="s">
        <v>286</v>
      </c>
      <c r="J75" t="s">
        <v>37</v>
      </c>
      <c r="K75" t="s">
        <v>598</v>
      </c>
      <c r="L75" t="s">
        <v>285</v>
      </c>
      <c r="M75">
        <v>35.585999999999999</v>
      </c>
      <c r="N75">
        <v>51.46</v>
      </c>
      <c r="O75" t="s">
        <v>121</v>
      </c>
      <c r="P75" t="s">
        <v>1623</v>
      </c>
      <c r="Q75" t="s">
        <v>27</v>
      </c>
      <c r="R75" t="str">
        <f>VLOOKUP(C75,Tabelle1!B:C,2,0)</f>
        <v>iran11</v>
      </c>
    </row>
    <row r="76" spans="1:18" x14ac:dyDescent="0.3">
      <c r="A76">
        <v>75</v>
      </c>
      <c r="B76" t="s">
        <v>1625</v>
      </c>
      <c r="C76" t="s">
        <v>594</v>
      </c>
      <c r="D76" t="s">
        <v>596</v>
      </c>
      <c r="E76" t="s">
        <v>1626</v>
      </c>
      <c r="F76" t="s">
        <v>112</v>
      </c>
      <c r="G76" t="s">
        <v>32</v>
      </c>
      <c r="H76" t="s">
        <v>597</v>
      </c>
      <c r="I76" t="s">
        <v>286</v>
      </c>
      <c r="J76" t="s">
        <v>37</v>
      </c>
      <c r="K76" t="s">
        <v>598</v>
      </c>
      <c r="L76" t="s">
        <v>285</v>
      </c>
      <c r="M76">
        <v>35.585999999999999</v>
      </c>
      <c r="N76">
        <v>51.46</v>
      </c>
      <c r="O76" t="s">
        <v>121</v>
      </c>
      <c r="P76" t="s">
        <v>1625</v>
      </c>
      <c r="Q76" t="s">
        <v>27</v>
      </c>
      <c r="R76" t="str">
        <f>VLOOKUP(C76,Tabelle1!B:C,2,0)</f>
        <v>iran17</v>
      </c>
    </row>
    <row r="77" spans="1:18" x14ac:dyDescent="0.3">
      <c r="A77">
        <v>76</v>
      </c>
      <c r="B77" t="s">
        <v>1627</v>
      </c>
      <c r="C77" t="s">
        <v>1042</v>
      </c>
      <c r="D77" t="s">
        <v>1044</v>
      </c>
      <c r="E77" t="s">
        <v>1628</v>
      </c>
      <c r="F77" t="s">
        <v>112</v>
      </c>
      <c r="G77" t="s">
        <v>120</v>
      </c>
      <c r="H77" t="s">
        <v>1045</v>
      </c>
      <c r="I77" t="s">
        <v>1537</v>
      </c>
      <c r="J77" t="s">
        <v>126</v>
      </c>
      <c r="K77" t="s">
        <v>127</v>
      </c>
      <c r="L77" t="s">
        <v>1629</v>
      </c>
      <c r="M77">
        <v>57.53</v>
      </c>
      <c r="N77">
        <v>135.88</v>
      </c>
      <c r="O77" t="s">
        <v>121</v>
      </c>
      <c r="P77" t="s">
        <v>1627</v>
      </c>
      <c r="Q77" t="s">
        <v>27</v>
      </c>
      <c r="R77" t="str">
        <f>VLOOKUP(C77,Tabelle1!B:C,2,0)</f>
        <v>Nlk1</v>
      </c>
    </row>
    <row r="78" spans="1:18" x14ac:dyDescent="0.3">
      <c r="A78">
        <v>77</v>
      </c>
      <c r="B78" t="s">
        <v>1630</v>
      </c>
      <c r="C78" t="s">
        <v>1050</v>
      </c>
      <c r="D78" t="s">
        <v>1052</v>
      </c>
      <c r="E78" t="s">
        <v>1631</v>
      </c>
      <c r="F78" t="s">
        <v>112</v>
      </c>
      <c r="G78" t="s">
        <v>120</v>
      </c>
      <c r="H78" t="s">
        <v>1045</v>
      </c>
      <c r="I78" t="s">
        <v>1537</v>
      </c>
      <c r="J78" t="s">
        <v>126</v>
      </c>
      <c r="K78" t="s">
        <v>127</v>
      </c>
      <c r="L78" t="s">
        <v>1629</v>
      </c>
      <c r="M78">
        <v>57.53</v>
      </c>
      <c r="N78">
        <v>135.88</v>
      </c>
      <c r="O78" t="s">
        <v>121</v>
      </c>
      <c r="P78" t="s">
        <v>1630</v>
      </c>
      <c r="Q78" t="s">
        <v>27</v>
      </c>
      <c r="R78" t="str">
        <f>VLOOKUP(C78,Tabelle1!B:C,2,0)</f>
        <v>Nlk3</v>
      </c>
    </row>
    <row r="79" spans="1:18" x14ac:dyDescent="0.3">
      <c r="A79">
        <v>78</v>
      </c>
      <c r="B79" t="s">
        <v>1632</v>
      </c>
      <c r="C79" t="s">
        <v>1047</v>
      </c>
      <c r="D79" t="s">
        <v>1049</v>
      </c>
      <c r="E79" t="s">
        <v>1633</v>
      </c>
      <c r="F79" t="s">
        <v>112</v>
      </c>
      <c r="G79" t="s">
        <v>32</v>
      </c>
      <c r="H79" t="s">
        <v>1045</v>
      </c>
      <c r="I79" t="s">
        <v>1537</v>
      </c>
      <c r="J79" t="s">
        <v>126</v>
      </c>
      <c r="K79" t="s">
        <v>127</v>
      </c>
      <c r="L79" t="s">
        <v>1629</v>
      </c>
      <c r="M79">
        <v>57.53</v>
      </c>
      <c r="N79">
        <v>135.88</v>
      </c>
      <c r="O79" t="s">
        <v>121</v>
      </c>
      <c r="P79" t="s">
        <v>1632</v>
      </c>
      <c r="Q79" t="s">
        <v>27</v>
      </c>
      <c r="R79" t="str">
        <f>VLOOKUP(C79,Tabelle1!B:C,2,0)</f>
        <v>Nlk18</v>
      </c>
    </row>
    <row r="80" spans="1:18" x14ac:dyDescent="0.3">
      <c r="A80">
        <v>79</v>
      </c>
      <c r="B80" t="s">
        <v>1634</v>
      </c>
      <c r="C80" t="s">
        <v>465</v>
      </c>
      <c r="D80" t="s">
        <v>467</v>
      </c>
      <c r="E80" t="s">
        <v>1635</v>
      </c>
      <c r="F80" t="s">
        <v>112</v>
      </c>
      <c r="G80" t="s">
        <v>120</v>
      </c>
      <c r="H80" t="s">
        <v>468</v>
      </c>
      <c r="I80" t="s">
        <v>471</v>
      </c>
      <c r="J80" t="s">
        <v>21</v>
      </c>
      <c r="K80" t="s">
        <v>469</v>
      </c>
      <c r="L80" t="s">
        <v>470</v>
      </c>
      <c r="M80">
        <v>4.7</v>
      </c>
      <c r="N80">
        <v>114.7</v>
      </c>
      <c r="O80" t="s">
        <v>60</v>
      </c>
      <c r="P80" t="s">
        <v>1634</v>
      </c>
      <c r="Q80" t="s">
        <v>27</v>
      </c>
      <c r="R80" t="str">
        <f>VLOOKUP(C80,Tabelle1!B:C,2,0)</f>
        <v>Dus22</v>
      </c>
    </row>
    <row r="81" spans="1:18" x14ac:dyDescent="0.3">
      <c r="A81">
        <v>80</v>
      </c>
      <c r="B81" t="s">
        <v>1636</v>
      </c>
      <c r="C81" t="s">
        <v>472</v>
      </c>
      <c r="D81" t="s">
        <v>474</v>
      </c>
      <c r="E81" t="s">
        <v>1637</v>
      </c>
      <c r="F81" t="s">
        <v>112</v>
      </c>
      <c r="G81" t="s">
        <v>120</v>
      </c>
      <c r="H81" t="s">
        <v>468</v>
      </c>
      <c r="I81" t="s">
        <v>471</v>
      </c>
      <c r="J81" t="s">
        <v>21</v>
      </c>
      <c r="K81" t="s">
        <v>469</v>
      </c>
      <c r="L81" t="s">
        <v>1638</v>
      </c>
      <c r="M81">
        <v>4.7</v>
      </c>
      <c r="N81">
        <v>114.7</v>
      </c>
      <c r="O81" t="s">
        <v>60</v>
      </c>
      <c r="P81" t="s">
        <v>1636</v>
      </c>
      <c r="Q81" t="s">
        <v>27</v>
      </c>
      <c r="R81" t="str">
        <f>VLOOKUP(C81,Tabelle1!B:C,2,0)</f>
        <v>Dus16</v>
      </c>
    </row>
    <row r="82" spans="1:18" x14ac:dyDescent="0.3">
      <c r="A82">
        <v>81</v>
      </c>
      <c r="B82" t="s">
        <v>1639</v>
      </c>
      <c r="C82" t="s">
        <v>1001</v>
      </c>
      <c r="D82" t="s">
        <v>1003</v>
      </c>
      <c r="E82" t="s">
        <v>1640</v>
      </c>
      <c r="F82" t="s">
        <v>112</v>
      </c>
      <c r="G82" t="s">
        <v>32</v>
      </c>
      <c r="H82" t="s">
        <v>1000</v>
      </c>
      <c r="I82" t="s">
        <v>51</v>
      </c>
      <c r="J82" t="s">
        <v>126</v>
      </c>
      <c r="K82" t="s">
        <v>127</v>
      </c>
      <c r="L82" t="s">
        <v>50</v>
      </c>
      <c r="M82">
        <v>63</v>
      </c>
      <c r="N82">
        <v>129.5</v>
      </c>
      <c r="O82" t="s">
        <v>26</v>
      </c>
      <c r="P82" t="s">
        <v>1639</v>
      </c>
      <c r="Q82" t="s">
        <v>27</v>
      </c>
      <c r="R82" t="str">
        <f>VLOOKUP(C82,Tabelle1!B:C,2,0)</f>
        <v>HGDP00951</v>
      </c>
    </row>
    <row r="83" spans="1:18" x14ac:dyDescent="0.3">
      <c r="A83">
        <v>82</v>
      </c>
      <c r="B83" t="s">
        <v>1641</v>
      </c>
      <c r="C83" t="s">
        <v>343</v>
      </c>
      <c r="D83" t="s">
        <v>345</v>
      </c>
      <c r="E83" t="s">
        <v>1642</v>
      </c>
      <c r="F83" t="s">
        <v>112</v>
      </c>
      <c r="G83" t="s">
        <v>32</v>
      </c>
      <c r="H83" t="s">
        <v>341</v>
      </c>
      <c r="I83" t="s">
        <v>51</v>
      </c>
      <c r="J83" t="s">
        <v>56</v>
      </c>
      <c r="K83" t="s">
        <v>342</v>
      </c>
      <c r="L83" t="s">
        <v>50</v>
      </c>
      <c r="M83">
        <v>-22</v>
      </c>
      <c r="N83">
        <v>19</v>
      </c>
      <c r="O83" t="s">
        <v>26</v>
      </c>
      <c r="P83" t="s">
        <v>1641</v>
      </c>
      <c r="Q83" t="s">
        <v>27</v>
      </c>
      <c r="R83" t="str">
        <f>VLOOKUP(C83,Tabelle1!B:C,2,0)</f>
        <v>HGDP01035</v>
      </c>
    </row>
    <row r="84" spans="1:18" x14ac:dyDescent="0.3">
      <c r="A84">
        <v>83</v>
      </c>
      <c r="B84" t="s">
        <v>1643</v>
      </c>
      <c r="C84" t="s">
        <v>338</v>
      </c>
      <c r="D84" t="s">
        <v>340</v>
      </c>
      <c r="E84" t="s">
        <v>1644</v>
      </c>
      <c r="F84" t="s">
        <v>112</v>
      </c>
      <c r="G84" t="s">
        <v>32</v>
      </c>
      <c r="H84" t="s">
        <v>341</v>
      </c>
      <c r="I84" t="s">
        <v>51</v>
      </c>
      <c r="J84" t="s">
        <v>56</v>
      </c>
      <c r="K84" t="s">
        <v>342</v>
      </c>
      <c r="L84" t="s">
        <v>50</v>
      </c>
      <c r="M84">
        <v>-22</v>
      </c>
      <c r="N84">
        <v>19</v>
      </c>
      <c r="O84" t="s">
        <v>26</v>
      </c>
      <c r="P84" t="s">
        <v>1643</v>
      </c>
      <c r="Q84" t="s">
        <v>27</v>
      </c>
      <c r="R84" t="str">
        <f>VLOOKUP(C84,Tabelle1!B:C,2,0)</f>
        <v>HGDP01028</v>
      </c>
    </row>
    <row r="85" spans="1:18" x14ac:dyDescent="0.3">
      <c r="A85">
        <v>84</v>
      </c>
      <c r="B85" t="s">
        <v>1645</v>
      </c>
      <c r="C85" t="s">
        <v>391</v>
      </c>
      <c r="D85" t="s">
        <v>393</v>
      </c>
      <c r="E85" t="s">
        <v>1646</v>
      </c>
      <c r="F85" t="s">
        <v>112</v>
      </c>
      <c r="G85" t="s">
        <v>120</v>
      </c>
      <c r="H85" t="s">
        <v>394</v>
      </c>
      <c r="I85" t="s">
        <v>51</v>
      </c>
      <c r="J85" t="s">
        <v>21</v>
      </c>
      <c r="K85" t="s">
        <v>101</v>
      </c>
      <c r="L85" t="s">
        <v>395</v>
      </c>
      <c r="M85">
        <v>-6</v>
      </c>
      <c r="N85">
        <v>155</v>
      </c>
      <c r="O85" t="s">
        <v>26</v>
      </c>
      <c r="P85" t="s">
        <v>1645</v>
      </c>
      <c r="Q85" t="s">
        <v>27</v>
      </c>
      <c r="R85" t="str">
        <f>VLOOKUP(C85,Tabelle1!B:C,2,0)</f>
        <v>HGDP00660</v>
      </c>
    </row>
    <row r="86" spans="1:18" x14ac:dyDescent="0.3">
      <c r="A86">
        <v>85</v>
      </c>
      <c r="B86" t="s">
        <v>1647</v>
      </c>
      <c r="C86" t="s">
        <v>396</v>
      </c>
      <c r="D86" t="s">
        <v>398</v>
      </c>
      <c r="E86" t="s">
        <v>1648</v>
      </c>
      <c r="F86" t="s">
        <v>112</v>
      </c>
      <c r="G86" t="s">
        <v>120</v>
      </c>
      <c r="H86" t="s">
        <v>394</v>
      </c>
      <c r="I86" t="s">
        <v>51</v>
      </c>
      <c r="J86" t="s">
        <v>21</v>
      </c>
      <c r="K86" t="s">
        <v>101</v>
      </c>
      <c r="L86" t="s">
        <v>395</v>
      </c>
      <c r="M86">
        <v>-6</v>
      </c>
      <c r="N86">
        <v>155</v>
      </c>
      <c r="O86" t="s">
        <v>26</v>
      </c>
      <c r="P86" t="s">
        <v>1647</v>
      </c>
      <c r="Q86" t="s">
        <v>27</v>
      </c>
      <c r="R86" t="str">
        <f>VLOOKUP(C86,Tabelle1!B:C,2,0)</f>
        <v>HGDP00656</v>
      </c>
    </row>
    <row r="87" spans="1:18" x14ac:dyDescent="0.3">
      <c r="A87">
        <v>86</v>
      </c>
      <c r="B87" t="s">
        <v>1649</v>
      </c>
      <c r="C87" t="s">
        <v>663</v>
      </c>
      <c r="D87" t="s">
        <v>665</v>
      </c>
      <c r="E87" t="s">
        <v>1650</v>
      </c>
      <c r="F87" t="s">
        <v>112</v>
      </c>
      <c r="G87" t="s">
        <v>120</v>
      </c>
      <c r="H87" t="s">
        <v>661</v>
      </c>
      <c r="I87" t="s">
        <v>134</v>
      </c>
      <c r="J87" t="s">
        <v>48</v>
      </c>
      <c r="K87" t="s">
        <v>662</v>
      </c>
      <c r="L87" t="s">
        <v>23</v>
      </c>
      <c r="M87">
        <v>37.6</v>
      </c>
      <c r="N87">
        <v>127</v>
      </c>
      <c r="O87" t="s">
        <v>26</v>
      </c>
      <c r="P87" t="s">
        <v>1649</v>
      </c>
      <c r="Q87" t="s">
        <v>27</v>
      </c>
      <c r="R87" t="str">
        <f>VLOOKUP(C87,Tabelle1!B:C,2,0)</f>
        <v>NA00726</v>
      </c>
    </row>
    <row r="88" spans="1:18" x14ac:dyDescent="0.3">
      <c r="A88">
        <v>87</v>
      </c>
      <c r="B88" t="s">
        <v>1651</v>
      </c>
      <c r="C88" t="s">
        <v>129</v>
      </c>
      <c r="D88" t="s">
        <v>131</v>
      </c>
      <c r="E88" t="s">
        <v>1652</v>
      </c>
      <c r="F88" t="s">
        <v>112</v>
      </c>
      <c r="G88" t="s">
        <v>32</v>
      </c>
      <c r="H88" t="s">
        <v>132</v>
      </c>
      <c r="I88" t="s">
        <v>134</v>
      </c>
      <c r="J88" t="s">
        <v>48</v>
      </c>
      <c r="K88" t="s">
        <v>133</v>
      </c>
      <c r="L88" t="s">
        <v>23</v>
      </c>
      <c r="M88">
        <v>24.611712000000001</v>
      </c>
      <c r="N88">
        <v>121.29644399999999</v>
      </c>
      <c r="O88" t="s">
        <v>26</v>
      </c>
      <c r="P88" t="s">
        <v>1651</v>
      </c>
      <c r="Q88" t="s">
        <v>27</v>
      </c>
      <c r="R88" t="str">
        <f>VLOOKUP(C88,Tabelle1!B:C,2,0)</f>
        <v>NA13604</v>
      </c>
    </row>
    <row r="89" spans="1:18" x14ac:dyDescent="0.3">
      <c r="A89">
        <v>88</v>
      </c>
      <c r="B89" t="s">
        <v>1653</v>
      </c>
      <c r="C89" t="s">
        <v>1060</v>
      </c>
      <c r="D89" t="s">
        <v>1062</v>
      </c>
      <c r="E89" t="s">
        <v>1654</v>
      </c>
      <c r="F89" t="s">
        <v>112</v>
      </c>
      <c r="G89" t="s">
        <v>32</v>
      </c>
      <c r="H89" t="s">
        <v>1056</v>
      </c>
      <c r="I89" t="s">
        <v>300</v>
      </c>
      <c r="J89" t="s">
        <v>37</v>
      </c>
      <c r="K89" t="s">
        <v>849</v>
      </c>
      <c r="L89" t="s">
        <v>50</v>
      </c>
      <c r="M89">
        <v>60.2</v>
      </c>
      <c r="N89">
        <v>24.9</v>
      </c>
      <c r="O89" t="s">
        <v>26</v>
      </c>
      <c r="P89" t="s">
        <v>1653</v>
      </c>
      <c r="Q89" t="s">
        <v>27</v>
      </c>
      <c r="R89" t="str">
        <f>VLOOKUP(C89,Tabelle1!B:C,2,0)</f>
        <v>HG00360</v>
      </c>
    </row>
    <row r="90" spans="1:18" x14ac:dyDescent="0.3">
      <c r="A90">
        <v>89</v>
      </c>
      <c r="B90" t="s">
        <v>1655</v>
      </c>
      <c r="C90" t="s">
        <v>1057</v>
      </c>
      <c r="D90" t="s">
        <v>1059</v>
      </c>
      <c r="E90" t="s">
        <v>1656</v>
      </c>
      <c r="F90" t="s">
        <v>112</v>
      </c>
      <c r="G90" t="s">
        <v>32</v>
      </c>
      <c r="H90" t="s">
        <v>1056</v>
      </c>
      <c r="I90" t="s">
        <v>300</v>
      </c>
      <c r="J90" t="s">
        <v>37</v>
      </c>
      <c r="K90" t="s">
        <v>849</v>
      </c>
      <c r="L90" t="s">
        <v>50</v>
      </c>
      <c r="M90">
        <v>60.2</v>
      </c>
      <c r="N90">
        <v>24.9</v>
      </c>
      <c r="O90" t="s">
        <v>26</v>
      </c>
      <c r="P90" t="s">
        <v>1655</v>
      </c>
      <c r="Q90" t="s">
        <v>27</v>
      </c>
      <c r="R90" t="str">
        <f>VLOOKUP(C90,Tabelle1!B:C,2,0)</f>
        <v>HG00190</v>
      </c>
    </row>
    <row r="91" spans="1:18" x14ac:dyDescent="0.3">
      <c r="A91">
        <v>90</v>
      </c>
      <c r="B91" t="s">
        <v>1657</v>
      </c>
      <c r="C91" t="s">
        <v>1053</v>
      </c>
      <c r="D91" t="s">
        <v>1055</v>
      </c>
      <c r="E91" t="s">
        <v>1658</v>
      </c>
      <c r="F91" t="s">
        <v>112</v>
      </c>
      <c r="G91" t="s">
        <v>120</v>
      </c>
      <c r="H91" t="s">
        <v>1056</v>
      </c>
      <c r="I91" t="s">
        <v>300</v>
      </c>
      <c r="J91" t="s">
        <v>37</v>
      </c>
      <c r="K91" t="s">
        <v>849</v>
      </c>
      <c r="L91" t="s">
        <v>50</v>
      </c>
      <c r="M91">
        <v>60.2</v>
      </c>
      <c r="N91">
        <v>24.9</v>
      </c>
      <c r="O91" t="s">
        <v>26</v>
      </c>
      <c r="P91" t="s">
        <v>1657</v>
      </c>
      <c r="Q91" t="s">
        <v>27</v>
      </c>
      <c r="R91" t="str">
        <f>VLOOKUP(C91,Tabelle1!B:C,2,0)</f>
        <v>HG00174</v>
      </c>
    </row>
    <row r="92" spans="1:18" x14ac:dyDescent="0.3">
      <c r="A92">
        <v>91</v>
      </c>
      <c r="B92" t="s">
        <v>1659</v>
      </c>
      <c r="C92" t="s">
        <v>1088</v>
      </c>
      <c r="D92" t="s">
        <v>1090</v>
      </c>
      <c r="E92" t="s">
        <v>1660</v>
      </c>
      <c r="F92" t="s">
        <v>112</v>
      </c>
      <c r="G92" t="s">
        <v>32</v>
      </c>
      <c r="H92" t="s">
        <v>89</v>
      </c>
      <c r="I92" t="s">
        <v>51</v>
      </c>
      <c r="J92" t="s">
        <v>56</v>
      </c>
      <c r="K92" t="s">
        <v>90</v>
      </c>
      <c r="L92" t="s">
        <v>50</v>
      </c>
      <c r="M92">
        <v>1</v>
      </c>
      <c r="N92">
        <v>29</v>
      </c>
      <c r="O92" t="s">
        <v>26</v>
      </c>
      <c r="P92" t="s">
        <v>1659</v>
      </c>
      <c r="Q92" t="s">
        <v>27</v>
      </c>
      <c r="R92" t="str">
        <f>VLOOKUP(C92,Tabelle1!B:C,2,0)</f>
        <v>HGDP00449</v>
      </c>
    </row>
    <row r="93" spans="1:18" x14ac:dyDescent="0.3">
      <c r="A93">
        <v>92</v>
      </c>
      <c r="B93" t="s">
        <v>1661</v>
      </c>
      <c r="C93" t="s">
        <v>1004</v>
      </c>
      <c r="D93" t="s">
        <v>1006</v>
      </c>
      <c r="E93" t="s">
        <v>1662</v>
      </c>
      <c r="F93" t="s">
        <v>112</v>
      </c>
      <c r="G93" t="s">
        <v>120</v>
      </c>
      <c r="H93" t="s">
        <v>1007</v>
      </c>
      <c r="I93" t="s">
        <v>608</v>
      </c>
      <c r="J93" t="s">
        <v>37</v>
      </c>
      <c r="K93" t="s">
        <v>1008</v>
      </c>
      <c r="L93" t="s">
        <v>607</v>
      </c>
      <c r="M93">
        <v>15.4</v>
      </c>
      <c r="N93">
        <v>44.2</v>
      </c>
      <c r="O93" t="s">
        <v>26</v>
      </c>
      <c r="P93" t="s">
        <v>1661</v>
      </c>
      <c r="Q93" t="s">
        <v>27</v>
      </c>
      <c r="R93" t="str">
        <f>VLOOKUP(C93,Tabelle1!B:C,2,0)</f>
        <v>YemeniteJew4695</v>
      </c>
    </row>
    <row r="94" spans="1:18" x14ac:dyDescent="0.3">
      <c r="A94">
        <v>93</v>
      </c>
      <c r="B94" t="s">
        <v>1663</v>
      </c>
      <c r="C94" t="s">
        <v>1082</v>
      </c>
      <c r="D94" t="s">
        <v>1084</v>
      </c>
      <c r="E94" t="s">
        <v>1664</v>
      </c>
      <c r="F94" t="s">
        <v>112</v>
      </c>
      <c r="G94" t="s">
        <v>32</v>
      </c>
      <c r="H94" t="s">
        <v>89</v>
      </c>
      <c r="I94" t="s">
        <v>51</v>
      </c>
      <c r="J94" t="s">
        <v>56</v>
      </c>
      <c r="K94" t="s">
        <v>90</v>
      </c>
      <c r="L94" t="s">
        <v>50</v>
      </c>
      <c r="M94">
        <v>1</v>
      </c>
      <c r="N94">
        <v>29</v>
      </c>
      <c r="O94" t="s">
        <v>26</v>
      </c>
      <c r="P94" t="s">
        <v>1663</v>
      </c>
      <c r="Q94" t="s">
        <v>27</v>
      </c>
      <c r="R94" t="str">
        <f>VLOOKUP(C94,Tabelle1!B:C,2,0)</f>
        <v>HGDP00474</v>
      </c>
    </row>
    <row r="95" spans="1:18" x14ac:dyDescent="0.3">
      <c r="A95">
        <v>94</v>
      </c>
      <c r="B95" t="s">
        <v>1665</v>
      </c>
      <c r="C95" t="s">
        <v>777</v>
      </c>
      <c r="D95" t="s">
        <v>779</v>
      </c>
      <c r="E95" t="s">
        <v>1666</v>
      </c>
      <c r="F95" t="s">
        <v>112</v>
      </c>
      <c r="G95" t="s">
        <v>120</v>
      </c>
      <c r="H95" t="s">
        <v>94</v>
      </c>
      <c r="I95" t="s">
        <v>789</v>
      </c>
      <c r="J95" t="s">
        <v>79</v>
      </c>
      <c r="K95" t="s">
        <v>95</v>
      </c>
      <c r="L95" t="s">
        <v>1522</v>
      </c>
      <c r="M95">
        <v>16.95</v>
      </c>
      <c r="N95">
        <v>-96.58</v>
      </c>
      <c r="O95" t="s">
        <v>26</v>
      </c>
      <c r="P95" t="s">
        <v>1665</v>
      </c>
      <c r="Q95" t="s">
        <v>27</v>
      </c>
      <c r="R95" t="str">
        <f>VLOOKUP(C95,Tabelle1!B:C,2,0)</f>
        <v>mixe0002</v>
      </c>
    </row>
    <row r="96" spans="1:18" x14ac:dyDescent="0.3">
      <c r="A96">
        <v>95</v>
      </c>
      <c r="B96" t="s">
        <v>1667</v>
      </c>
      <c r="C96" t="s">
        <v>780</v>
      </c>
      <c r="D96" t="s">
        <v>782</v>
      </c>
      <c r="E96" t="s">
        <v>1668</v>
      </c>
      <c r="F96" t="s">
        <v>112</v>
      </c>
      <c r="G96" t="s">
        <v>120</v>
      </c>
      <c r="H96" t="s">
        <v>94</v>
      </c>
      <c r="I96" t="s">
        <v>789</v>
      </c>
      <c r="J96" t="s">
        <v>79</v>
      </c>
      <c r="K96" t="s">
        <v>95</v>
      </c>
      <c r="L96" t="s">
        <v>1669</v>
      </c>
      <c r="M96">
        <v>16.95</v>
      </c>
      <c r="N96">
        <v>-96.58</v>
      </c>
      <c r="O96" t="s">
        <v>26</v>
      </c>
      <c r="P96" t="s">
        <v>1667</v>
      </c>
      <c r="Q96" t="s">
        <v>27</v>
      </c>
      <c r="R96" t="str">
        <f>VLOOKUP(C96,Tabelle1!B:C,2,0)</f>
        <v>mixe0042</v>
      </c>
    </row>
    <row r="97" spans="1:18" x14ac:dyDescent="0.3">
      <c r="A97">
        <v>96</v>
      </c>
      <c r="B97" t="s">
        <v>1670</v>
      </c>
      <c r="C97" t="s">
        <v>623</v>
      </c>
      <c r="D97" t="s">
        <v>625</v>
      </c>
      <c r="E97" t="s">
        <v>1671</v>
      </c>
      <c r="F97" t="s">
        <v>112</v>
      </c>
      <c r="G97" t="s">
        <v>120</v>
      </c>
      <c r="H97" t="s">
        <v>622</v>
      </c>
      <c r="I97" t="s">
        <v>51</v>
      </c>
      <c r="J97" t="s">
        <v>176</v>
      </c>
      <c r="K97" t="s">
        <v>225</v>
      </c>
      <c r="L97" t="s">
        <v>50</v>
      </c>
      <c r="M97">
        <v>36</v>
      </c>
      <c r="N97">
        <v>71.5</v>
      </c>
      <c r="O97" t="s">
        <v>26</v>
      </c>
      <c r="P97" t="s">
        <v>1670</v>
      </c>
      <c r="Q97" t="s">
        <v>27</v>
      </c>
      <c r="R97" t="str">
        <f>VLOOKUP(C97,Tabelle1!B:C,2,0)</f>
        <v>HGDP00286</v>
      </c>
    </row>
    <row r="98" spans="1:18" x14ac:dyDescent="0.3">
      <c r="A98">
        <v>97</v>
      </c>
      <c r="B98" t="s">
        <v>1672</v>
      </c>
      <c r="C98" t="s">
        <v>619</v>
      </c>
      <c r="D98" t="s">
        <v>621</v>
      </c>
      <c r="E98" t="s">
        <v>1673</v>
      </c>
      <c r="F98" t="s">
        <v>112</v>
      </c>
      <c r="G98" t="s">
        <v>32</v>
      </c>
      <c r="H98" t="s">
        <v>622</v>
      </c>
      <c r="I98" t="s">
        <v>51</v>
      </c>
      <c r="J98" t="s">
        <v>176</v>
      </c>
      <c r="K98" t="s">
        <v>225</v>
      </c>
      <c r="L98" t="s">
        <v>50</v>
      </c>
      <c r="M98">
        <v>36</v>
      </c>
      <c r="N98">
        <v>71.5</v>
      </c>
      <c r="O98" t="s">
        <v>26</v>
      </c>
      <c r="P98" t="s">
        <v>1672</v>
      </c>
      <c r="Q98" t="s">
        <v>27</v>
      </c>
      <c r="R98" t="str">
        <f>VLOOKUP(C98,Tabelle1!B:C,2,0)</f>
        <v>HGDP00328</v>
      </c>
    </row>
    <row r="99" spans="1:18" x14ac:dyDescent="0.3">
      <c r="A99">
        <v>98</v>
      </c>
      <c r="B99" t="s">
        <v>1674</v>
      </c>
      <c r="C99" t="s">
        <v>191</v>
      </c>
      <c r="D99" t="s">
        <v>193</v>
      </c>
      <c r="E99" t="s">
        <v>1675</v>
      </c>
      <c r="F99" t="s">
        <v>112</v>
      </c>
      <c r="G99" t="s">
        <v>32</v>
      </c>
      <c r="H99" t="s">
        <v>194</v>
      </c>
      <c r="I99" t="s">
        <v>134</v>
      </c>
      <c r="J99" t="s">
        <v>37</v>
      </c>
      <c r="K99" t="s">
        <v>195</v>
      </c>
      <c r="L99" t="s">
        <v>23</v>
      </c>
      <c r="M99">
        <v>52.2</v>
      </c>
      <c r="N99">
        <v>21</v>
      </c>
      <c r="O99" t="s">
        <v>26</v>
      </c>
      <c r="P99" t="s">
        <v>1674</v>
      </c>
      <c r="Q99" t="s">
        <v>27</v>
      </c>
      <c r="R99" t="str">
        <f>VLOOKUP(C99,Tabelle1!B:C,2,0)</f>
        <v>ND15865</v>
      </c>
    </row>
    <row r="100" spans="1:18" x14ac:dyDescent="0.3">
      <c r="A100">
        <v>99</v>
      </c>
      <c r="B100" t="s">
        <v>1676</v>
      </c>
      <c r="C100" t="s">
        <v>1140</v>
      </c>
      <c r="D100" t="s">
        <v>1142</v>
      </c>
      <c r="E100" t="s">
        <v>1677</v>
      </c>
      <c r="F100" t="s">
        <v>112</v>
      </c>
      <c r="G100" t="s">
        <v>120</v>
      </c>
      <c r="H100" t="s">
        <v>100</v>
      </c>
      <c r="I100" t="s">
        <v>51</v>
      </c>
      <c r="J100" t="s">
        <v>21</v>
      </c>
      <c r="K100" t="s">
        <v>101</v>
      </c>
      <c r="L100" t="s">
        <v>304</v>
      </c>
      <c r="M100">
        <v>-4</v>
      </c>
      <c r="N100">
        <v>143</v>
      </c>
      <c r="O100" t="s">
        <v>26</v>
      </c>
      <c r="P100" t="s">
        <v>1676</v>
      </c>
      <c r="Q100" t="s">
        <v>27</v>
      </c>
      <c r="R100" t="str">
        <f>VLOOKUP(C100,Tabelle1!B:C,2,0)</f>
        <v>HGDP00554</v>
      </c>
    </row>
    <row r="101" spans="1:18" x14ac:dyDescent="0.3">
      <c r="A101">
        <v>100</v>
      </c>
      <c r="B101" t="s">
        <v>1678</v>
      </c>
      <c r="C101" t="s">
        <v>1016</v>
      </c>
      <c r="D101" t="s">
        <v>1018</v>
      </c>
      <c r="E101" t="s">
        <v>1679</v>
      </c>
      <c r="F101" t="s">
        <v>112</v>
      </c>
      <c r="G101" t="s">
        <v>120</v>
      </c>
      <c r="H101" t="s">
        <v>1015</v>
      </c>
      <c r="I101" t="s">
        <v>51</v>
      </c>
      <c r="J101" t="s">
        <v>48</v>
      </c>
      <c r="K101" t="s">
        <v>49</v>
      </c>
      <c r="L101" t="s">
        <v>50</v>
      </c>
      <c r="M101">
        <v>28</v>
      </c>
      <c r="N101">
        <v>103</v>
      </c>
      <c r="O101" t="s">
        <v>26</v>
      </c>
      <c r="P101" t="s">
        <v>1678</v>
      </c>
      <c r="Q101" t="s">
        <v>27</v>
      </c>
      <c r="R101" t="str">
        <f>VLOOKUP(C101,Tabelle1!B:C,2,0)</f>
        <v>HGDP01188</v>
      </c>
    </row>
    <row r="102" spans="1:18" x14ac:dyDescent="0.3">
      <c r="A102">
        <v>101</v>
      </c>
      <c r="B102" t="s">
        <v>1680</v>
      </c>
      <c r="C102" t="s">
        <v>1128</v>
      </c>
      <c r="D102" t="s">
        <v>1130</v>
      </c>
      <c r="E102" t="s">
        <v>1681</v>
      </c>
      <c r="F102" t="s">
        <v>112</v>
      </c>
      <c r="G102" t="s">
        <v>32</v>
      </c>
      <c r="H102" t="s">
        <v>100</v>
      </c>
      <c r="I102" t="s">
        <v>51</v>
      </c>
      <c r="J102" t="s">
        <v>21</v>
      </c>
      <c r="K102" t="s">
        <v>101</v>
      </c>
      <c r="L102" t="s">
        <v>304</v>
      </c>
      <c r="M102">
        <v>-4</v>
      </c>
      <c r="N102">
        <v>143</v>
      </c>
      <c r="O102" t="s">
        <v>26</v>
      </c>
      <c r="P102" t="s">
        <v>1680</v>
      </c>
      <c r="Q102" t="s">
        <v>27</v>
      </c>
      <c r="R102" t="str">
        <f>VLOOKUP(C102,Tabelle1!B:C,2,0)</f>
        <v>HGDP00553</v>
      </c>
    </row>
    <row r="103" spans="1:18" x14ac:dyDescent="0.3">
      <c r="A103">
        <v>102</v>
      </c>
      <c r="B103" t="s">
        <v>1682</v>
      </c>
      <c r="C103" t="s">
        <v>1131</v>
      </c>
      <c r="D103" t="s">
        <v>1133</v>
      </c>
      <c r="E103" t="s">
        <v>1683</v>
      </c>
      <c r="F103" t="s">
        <v>112</v>
      </c>
      <c r="G103" t="s">
        <v>32</v>
      </c>
      <c r="H103" t="s">
        <v>100</v>
      </c>
      <c r="I103" t="s">
        <v>51</v>
      </c>
      <c r="J103" t="s">
        <v>21</v>
      </c>
      <c r="K103" t="s">
        <v>101</v>
      </c>
      <c r="L103" t="s">
        <v>304</v>
      </c>
      <c r="M103">
        <v>-4</v>
      </c>
      <c r="N103">
        <v>143</v>
      </c>
      <c r="O103" t="s">
        <v>26</v>
      </c>
      <c r="P103" t="s">
        <v>1682</v>
      </c>
      <c r="Q103" t="s">
        <v>27</v>
      </c>
      <c r="R103" t="str">
        <f>VLOOKUP(C103,Tabelle1!B:C,2,0)</f>
        <v>HGDP00555</v>
      </c>
    </row>
    <row r="104" spans="1:18" x14ac:dyDescent="0.3">
      <c r="A104">
        <v>103</v>
      </c>
      <c r="B104" t="s">
        <v>1684</v>
      </c>
      <c r="C104" t="s">
        <v>1134</v>
      </c>
      <c r="D104" t="s">
        <v>1136</v>
      </c>
      <c r="E104" t="s">
        <v>1685</v>
      </c>
      <c r="F104" t="s">
        <v>112</v>
      </c>
      <c r="G104" t="s">
        <v>32</v>
      </c>
      <c r="H104" t="s">
        <v>100</v>
      </c>
      <c r="I104" t="s">
        <v>51</v>
      </c>
      <c r="J104" t="s">
        <v>21</v>
      </c>
      <c r="K104" t="s">
        <v>101</v>
      </c>
      <c r="L104" t="s">
        <v>304</v>
      </c>
      <c r="M104">
        <v>-4</v>
      </c>
      <c r="N104">
        <v>143</v>
      </c>
      <c r="O104" t="s">
        <v>26</v>
      </c>
      <c r="P104" t="s">
        <v>1684</v>
      </c>
      <c r="Q104" t="s">
        <v>27</v>
      </c>
      <c r="R104" t="str">
        <f>VLOOKUP(C104,Tabelle1!B:C,2,0)</f>
        <v>HGDP00556</v>
      </c>
    </row>
    <row r="105" spans="1:18" x14ac:dyDescent="0.3">
      <c r="A105">
        <v>104</v>
      </c>
      <c r="B105" t="s">
        <v>1686</v>
      </c>
      <c r="C105" t="s">
        <v>1137</v>
      </c>
      <c r="D105" t="s">
        <v>1139</v>
      </c>
      <c r="E105" t="s">
        <v>1687</v>
      </c>
      <c r="F105" t="s">
        <v>112</v>
      </c>
      <c r="G105" t="s">
        <v>120</v>
      </c>
      <c r="H105" t="s">
        <v>100</v>
      </c>
      <c r="I105" t="s">
        <v>51</v>
      </c>
      <c r="J105" t="s">
        <v>21</v>
      </c>
      <c r="K105" t="s">
        <v>101</v>
      </c>
      <c r="L105" t="s">
        <v>304</v>
      </c>
      <c r="M105">
        <v>-4</v>
      </c>
      <c r="N105">
        <v>143</v>
      </c>
      <c r="O105" t="s">
        <v>26</v>
      </c>
      <c r="P105" t="s">
        <v>1686</v>
      </c>
      <c r="Q105" t="s">
        <v>27</v>
      </c>
      <c r="R105" t="str">
        <f>VLOOKUP(C105,Tabelle1!B:C,2,0)</f>
        <v>HGDP00552</v>
      </c>
    </row>
    <row r="106" spans="1:18" x14ac:dyDescent="0.3">
      <c r="A106">
        <v>105</v>
      </c>
      <c r="B106" t="s">
        <v>1688</v>
      </c>
      <c r="C106" t="s">
        <v>800</v>
      </c>
      <c r="D106" t="s">
        <v>802</v>
      </c>
      <c r="E106" t="s">
        <v>1689</v>
      </c>
      <c r="F106" t="s">
        <v>112</v>
      </c>
      <c r="G106" t="s">
        <v>32</v>
      </c>
      <c r="H106" t="s">
        <v>803</v>
      </c>
      <c r="I106" t="s">
        <v>146</v>
      </c>
      <c r="J106" t="s">
        <v>37</v>
      </c>
      <c r="K106" t="s">
        <v>127</v>
      </c>
      <c r="L106" t="s">
        <v>1690</v>
      </c>
      <c r="M106">
        <v>43.017000000000003</v>
      </c>
      <c r="N106">
        <v>44.65</v>
      </c>
      <c r="O106" t="s">
        <v>121</v>
      </c>
      <c r="P106" t="s">
        <v>1688</v>
      </c>
      <c r="Q106" t="s">
        <v>27</v>
      </c>
      <c r="R106" t="str">
        <f>VLOOKUP(C106,Tabelle1!B:C,2,0)</f>
        <v>NorthOssetia12</v>
      </c>
    </row>
    <row r="107" spans="1:18" x14ac:dyDescent="0.3">
      <c r="A107">
        <v>106</v>
      </c>
      <c r="B107" t="s">
        <v>1691</v>
      </c>
      <c r="C107" t="s">
        <v>805</v>
      </c>
      <c r="D107" t="s">
        <v>807</v>
      </c>
      <c r="E107" t="s">
        <v>1692</v>
      </c>
      <c r="F107" t="s">
        <v>112</v>
      </c>
      <c r="G107" t="s">
        <v>32</v>
      </c>
      <c r="H107" t="s">
        <v>803</v>
      </c>
      <c r="I107" t="s">
        <v>146</v>
      </c>
      <c r="J107" t="s">
        <v>37</v>
      </c>
      <c r="K107" t="s">
        <v>127</v>
      </c>
      <c r="L107" t="s">
        <v>1690</v>
      </c>
      <c r="M107">
        <v>43.017000000000003</v>
      </c>
      <c r="N107">
        <v>44.65</v>
      </c>
      <c r="O107" t="s">
        <v>121</v>
      </c>
      <c r="P107" t="s">
        <v>1691</v>
      </c>
      <c r="Q107" t="s">
        <v>27</v>
      </c>
      <c r="R107" t="str">
        <f>VLOOKUP(C107,Tabelle1!B:C,2,0)</f>
        <v>NorthOssetia5</v>
      </c>
    </row>
    <row r="108" spans="1:18" x14ac:dyDescent="0.3">
      <c r="A108">
        <v>107</v>
      </c>
      <c r="B108" t="s">
        <v>1693</v>
      </c>
      <c r="C108" t="s">
        <v>700</v>
      </c>
      <c r="D108" t="s">
        <v>702</v>
      </c>
      <c r="E108" t="s">
        <v>1694</v>
      </c>
      <c r="F108" t="s">
        <v>112</v>
      </c>
      <c r="G108" t="s">
        <v>32</v>
      </c>
      <c r="H108" t="s">
        <v>698</v>
      </c>
      <c r="I108" t="s">
        <v>146</v>
      </c>
      <c r="J108" t="s">
        <v>37</v>
      </c>
      <c r="K108" t="s">
        <v>127</v>
      </c>
      <c r="L108" t="s">
        <v>699</v>
      </c>
      <c r="M108">
        <v>42.116999999999997</v>
      </c>
      <c r="N108">
        <v>48.183</v>
      </c>
      <c r="O108" t="s">
        <v>121</v>
      </c>
      <c r="P108" t="s">
        <v>1693</v>
      </c>
      <c r="Q108" t="s">
        <v>27</v>
      </c>
      <c r="R108" t="str">
        <f>VLOOKUP(C108,Tabelle1!B:C,2,0)</f>
        <v>lez42</v>
      </c>
    </row>
    <row r="109" spans="1:18" x14ac:dyDescent="0.3">
      <c r="A109">
        <v>108</v>
      </c>
      <c r="B109" t="s">
        <v>1695</v>
      </c>
      <c r="C109" t="s">
        <v>695</v>
      </c>
      <c r="D109" t="s">
        <v>697</v>
      </c>
      <c r="E109" t="s">
        <v>1696</v>
      </c>
      <c r="F109" t="s">
        <v>112</v>
      </c>
      <c r="G109" t="s">
        <v>32</v>
      </c>
      <c r="H109" t="s">
        <v>698</v>
      </c>
      <c r="I109" t="s">
        <v>146</v>
      </c>
      <c r="J109" t="s">
        <v>37</v>
      </c>
      <c r="K109" t="s">
        <v>127</v>
      </c>
      <c r="L109" t="s">
        <v>699</v>
      </c>
      <c r="M109">
        <v>42.116999999999997</v>
      </c>
      <c r="N109">
        <v>48.183</v>
      </c>
      <c r="O109" t="s">
        <v>121</v>
      </c>
      <c r="P109" t="s">
        <v>1695</v>
      </c>
      <c r="Q109" t="s">
        <v>27</v>
      </c>
      <c r="R109" t="str">
        <f>VLOOKUP(C109,Tabelle1!B:C,2,0)</f>
        <v>lez49</v>
      </c>
    </row>
    <row r="110" spans="1:18" x14ac:dyDescent="0.3">
      <c r="A110">
        <v>109</v>
      </c>
      <c r="B110" t="s">
        <v>1697</v>
      </c>
      <c r="C110" t="s">
        <v>237</v>
      </c>
      <c r="D110" t="s">
        <v>239</v>
      </c>
      <c r="E110" t="s">
        <v>1698</v>
      </c>
      <c r="F110" t="s">
        <v>112</v>
      </c>
      <c r="G110" t="s">
        <v>25</v>
      </c>
      <c r="H110" t="s">
        <v>240</v>
      </c>
      <c r="I110" t="s">
        <v>51</v>
      </c>
      <c r="J110" t="s">
        <v>48</v>
      </c>
      <c r="K110" t="s">
        <v>49</v>
      </c>
      <c r="L110" t="s">
        <v>50</v>
      </c>
      <c r="M110">
        <v>48.5</v>
      </c>
      <c r="N110">
        <v>124</v>
      </c>
      <c r="O110" t="s">
        <v>26</v>
      </c>
      <c r="P110" t="s">
        <v>1697</v>
      </c>
      <c r="Q110" t="s">
        <v>27</v>
      </c>
      <c r="R110" t="str">
        <f>VLOOKUP(C110,Tabelle1!B:C,2,0)</f>
        <v>HGDP01217</v>
      </c>
    </row>
    <row r="111" spans="1:18" x14ac:dyDescent="0.3">
      <c r="A111">
        <v>110</v>
      </c>
      <c r="B111" t="s">
        <v>1699</v>
      </c>
      <c r="C111" t="s">
        <v>497</v>
      </c>
      <c r="D111" t="s">
        <v>499</v>
      </c>
      <c r="E111" t="s">
        <v>1700</v>
      </c>
      <c r="F111" t="s">
        <v>112</v>
      </c>
      <c r="G111" t="s">
        <v>120</v>
      </c>
      <c r="H111" t="s">
        <v>495</v>
      </c>
      <c r="I111" t="s">
        <v>1480</v>
      </c>
      <c r="J111" t="s">
        <v>126</v>
      </c>
      <c r="K111" t="s">
        <v>127</v>
      </c>
      <c r="L111" t="s">
        <v>1701</v>
      </c>
      <c r="M111">
        <v>66.02</v>
      </c>
      <c r="N111">
        <v>169.71</v>
      </c>
      <c r="O111" t="s">
        <v>121</v>
      </c>
      <c r="P111" t="s">
        <v>1699</v>
      </c>
      <c r="Q111" t="s">
        <v>27</v>
      </c>
      <c r="R111" t="str">
        <f>VLOOKUP(C111,Tabelle1!B:C,2,0)</f>
        <v>Nesk_25</v>
      </c>
    </row>
    <row r="112" spans="1:18" x14ac:dyDescent="0.3">
      <c r="A112">
        <v>111</v>
      </c>
      <c r="B112" t="s">
        <v>1702</v>
      </c>
      <c r="C112" t="s">
        <v>658</v>
      </c>
      <c r="D112" t="s">
        <v>660</v>
      </c>
      <c r="E112" t="s">
        <v>1703</v>
      </c>
      <c r="F112" t="s">
        <v>112</v>
      </c>
      <c r="G112" t="s">
        <v>32</v>
      </c>
      <c r="H112" t="s">
        <v>661</v>
      </c>
      <c r="I112" t="s">
        <v>134</v>
      </c>
      <c r="J112" t="s">
        <v>48</v>
      </c>
      <c r="K112" t="s">
        <v>662</v>
      </c>
      <c r="L112" t="s">
        <v>23</v>
      </c>
      <c r="M112">
        <v>37.6</v>
      </c>
      <c r="N112">
        <v>127</v>
      </c>
      <c r="O112" t="s">
        <v>26</v>
      </c>
      <c r="P112" t="s">
        <v>1702</v>
      </c>
      <c r="Q112" t="s">
        <v>27</v>
      </c>
      <c r="R112" t="str">
        <f>VLOOKUP(C112,Tabelle1!B:C,2,0)</f>
        <v>ND19394</v>
      </c>
    </row>
    <row r="113" spans="1:18" x14ac:dyDescent="0.3">
      <c r="A113">
        <v>112</v>
      </c>
      <c r="B113" t="s">
        <v>1704</v>
      </c>
      <c r="C113" t="s">
        <v>552</v>
      </c>
      <c r="D113" t="s">
        <v>554</v>
      </c>
      <c r="E113" t="s">
        <v>1705</v>
      </c>
      <c r="F113" t="s">
        <v>112</v>
      </c>
      <c r="G113" t="s">
        <v>32</v>
      </c>
      <c r="H113" t="s">
        <v>69</v>
      </c>
      <c r="I113" t="s">
        <v>51</v>
      </c>
      <c r="J113" t="s">
        <v>48</v>
      </c>
      <c r="K113" t="s">
        <v>49</v>
      </c>
      <c r="L113" t="s">
        <v>50</v>
      </c>
      <c r="M113">
        <v>32.299999999999997</v>
      </c>
      <c r="N113">
        <v>114</v>
      </c>
      <c r="O113" t="s">
        <v>26</v>
      </c>
      <c r="P113" t="s">
        <v>1704</v>
      </c>
      <c r="Q113" t="s">
        <v>27</v>
      </c>
      <c r="R113" t="str">
        <f>VLOOKUP(C113,Tabelle1!B:C,2,0)</f>
        <v>HGDP00785</v>
      </c>
    </row>
    <row r="114" spans="1:18" x14ac:dyDescent="0.3">
      <c r="A114">
        <v>113</v>
      </c>
      <c r="B114" t="s">
        <v>1706</v>
      </c>
      <c r="C114" t="s">
        <v>549</v>
      </c>
      <c r="D114" t="s">
        <v>551</v>
      </c>
      <c r="E114" t="s">
        <v>1707</v>
      </c>
      <c r="F114" t="s">
        <v>112</v>
      </c>
      <c r="G114" t="s">
        <v>120</v>
      </c>
      <c r="H114" t="s">
        <v>69</v>
      </c>
      <c r="I114" t="s">
        <v>51</v>
      </c>
      <c r="J114" t="s">
        <v>48</v>
      </c>
      <c r="K114" t="s">
        <v>49</v>
      </c>
      <c r="L114" t="s">
        <v>50</v>
      </c>
      <c r="M114">
        <v>32.299999999999997</v>
      </c>
      <c r="N114">
        <v>114</v>
      </c>
      <c r="O114" t="s">
        <v>26</v>
      </c>
      <c r="P114" t="s">
        <v>1706</v>
      </c>
      <c r="Q114" t="s">
        <v>27</v>
      </c>
      <c r="R114" t="str">
        <f>VLOOKUP(C114,Tabelle1!B:C,2,0)</f>
        <v>HGDP00783</v>
      </c>
    </row>
    <row r="115" spans="1:18" x14ac:dyDescent="0.3">
      <c r="A115">
        <v>114</v>
      </c>
      <c r="B115" t="s">
        <v>1708</v>
      </c>
      <c r="C115" t="s">
        <v>931</v>
      </c>
      <c r="D115" t="s">
        <v>933</v>
      </c>
      <c r="E115" t="s">
        <v>1709</v>
      </c>
      <c r="F115" t="s">
        <v>112</v>
      </c>
      <c r="G115" t="s">
        <v>120</v>
      </c>
      <c r="H115" t="s">
        <v>930</v>
      </c>
      <c r="I115" t="s">
        <v>51</v>
      </c>
      <c r="J115" t="s">
        <v>48</v>
      </c>
      <c r="K115" t="s">
        <v>49</v>
      </c>
      <c r="L115" t="s">
        <v>50</v>
      </c>
      <c r="M115">
        <v>36</v>
      </c>
      <c r="N115">
        <v>101</v>
      </c>
      <c r="O115" t="s">
        <v>26</v>
      </c>
      <c r="P115" t="s">
        <v>1708</v>
      </c>
      <c r="Q115" t="s">
        <v>27</v>
      </c>
      <c r="R115" t="str">
        <f>VLOOKUP(C115,Tabelle1!B:C,2,0)</f>
        <v>HGDP01355</v>
      </c>
    </row>
    <row r="116" spans="1:18" x14ac:dyDescent="0.3">
      <c r="A116">
        <v>115</v>
      </c>
      <c r="B116" t="s">
        <v>1710</v>
      </c>
      <c r="C116" t="s">
        <v>927</v>
      </c>
      <c r="D116" t="s">
        <v>929</v>
      </c>
      <c r="E116" t="s">
        <v>1711</v>
      </c>
      <c r="F116" t="s">
        <v>112</v>
      </c>
      <c r="G116" t="s">
        <v>32</v>
      </c>
      <c r="H116" t="s">
        <v>930</v>
      </c>
      <c r="I116" t="s">
        <v>51</v>
      </c>
      <c r="J116" t="s">
        <v>48</v>
      </c>
      <c r="K116" t="s">
        <v>49</v>
      </c>
      <c r="L116" t="s">
        <v>50</v>
      </c>
      <c r="M116">
        <v>36</v>
      </c>
      <c r="N116">
        <v>101</v>
      </c>
      <c r="O116" t="s">
        <v>26</v>
      </c>
      <c r="P116" t="s">
        <v>1710</v>
      </c>
      <c r="Q116" t="s">
        <v>27</v>
      </c>
      <c r="R116" t="str">
        <f>VLOOKUP(C116,Tabelle1!B:C,2,0)</f>
        <v>HGDP01350</v>
      </c>
    </row>
    <row r="117" spans="1:18" x14ac:dyDescent="0.3">
      <c r="A117">
        <v>116</v>
      </c>
      <c r="B117" t="s">
        <v>1712</v>
      </c>
      <c r="C117" t="s">
        <v>1152</v>
      </c>
      <c r="D117" t="s">
        <v>1154</v>
      </c>
      <c r="E117" t="s">
        <v>1713</v>
      </c>
      <c r="F117" t="s">
        <v>112</v>
      </c>
      <c r="G117" t="s">
        <v>32</v>
      </c>
      <c r="H117" t="s">
        <v>100</v>
      </c>
      <c r="I117" t="s">
        <v>51</v>
      </c>
      <c r="J117" t="s">
        <v>21</v>
      </c>
      <c r="K117" t="s">
        <v>101</v>
      </c>
      <c r="L117" t="s">
        <v>304</v>
      </c>
      <c r="M117">
        <v>-4</v>
      </c>
      <c r="N117">
        <v>143</v>
      </c>
      <c r="O117" t="s">
        <v>26</v>
      </c>
      <c r="P117" t="s">
        <v>1712</v>
      </c>
      <c r="Q117" t="s">
        <v>27</v>
      </c>
      <c r="R117" t="str">
        <f>VLOOKUP(C117,Tabelle1!B:C,2,0)</f>
        <v>HGDP00547</v>
      </c>
    </row>
    <row r="118" spans="1:18" x14ac:dyDescent="0.3">
      <c r="A118">
        <v>117</v>
      </c>
      <c r="B118" t="s">
        <v>1714</v>
      </c>
      <c r="C118" t="s">
        <v>1155</v>
      </c>
      <c r="D118" t="s">
        <v>1157</v>
      </c>
      <c r="E118" t="s">
        <v>1715</v>
      </c>
      <c r="F118" t="s">
        <v>112</v>
      </c>
      <c r="G118" t="s">
        <v>32</v>
      </c>
      <c r="H118" t="s">
        <v>100</v>
      </c>
      <c r="I118" t="s">
        <v>51</v>
      </c>
      <c r="J118" t="s">
        <v>21</v>
      </c>
      <c r="K118" t="s">
        <v>101</v>
      </c>
      <c r="L118" t="s">
        <v>304</v>
      </c>
      <c r="M118">
        <v>-4</v>
      </c>
      <c r="N118">
        <v>143</v>
      </c>
      <c r="O118" t="s">
        <v>26</v>
      </c>
      <c r="P118" t="s">
        <v>1714</v>
      </c>
      <c r="Q118" t="s">
        <v>27</v>
      </c>
      <c r="R118" t="str">
        <f>VLOOKUP(C118,Tabelle1!B:C,2,0)</f>
        <v>HGDP00548</v>
      </c>
    </row>
    <row r="119" spans="1:18" x14ac:dyDescent="0.3">
      <c r="A119">
        <v>118</v>
      </c>
      <c r="B119" t="s">
        <v>1716</v>
      </c>
      <c r="C119" t="s">
        <v>1146</v>
      </c>
      <c r="D119" t="s">
        <v>1148</v>
      </c>
      <c r="E119" t="s">
        <v>1717</v>
      </c>
      <c r="F119" t="s">
        <v>112</v>
      </c>
      <c r="G119" t="s">
        <v>32</v>
      </c>
      <c r="H119" t="s">
        <v>100</v>
      </c>
      <c r="I119" t="s">
        <v>51</v>
      </c>
      <c r="J119" t="s">
        <v>21</v>
      </c>
      <c r="K119" t="s">
        <v>101</v>
      </c>
      <c r="L119" t="s">
        <v>304</v>
      </c>
      <c r="M119">
        <v>-4</v>
      </c>
      <c r="N119">
        <v>143</v>
      </c>
      <c r="O119" t="s">
        <v>26</v>
      </c>
      <c r="P119" t="s">
        <v>1716</v>
      </c>
      <c r="Q119" t="s">
        <v>27</v>
      </c>
      <c r="R119" t="str">
        <f>VLOOKUP(C119,Tabelle1!B:C,2,0)</f>
        <v>HGDP00543</v>
      </c>
    </row>
    <row r="120" spans="1:18" x14ac:dyDescent="0.3">
      <c r="A120">
        <v>119</v>
      </c>
      <c r="B120" t="s">
        <v>1718</v>
      </c>
      <c r="C120" t="s">
        <v>1149</v>
      </c>
      <c r="D120" t="s">
        <v>1151</v>
      </c>
      <c r="E120" t="s">
        <v>1719</v>
      </c>
      <c r="F120" t="s">
        <v>112</v>
      </c>
      <c r="G120" t="s">
        <v>32</v>
      </c>
      <c r="H120" t="s">
        <v>100</v>
      </c>
      <c r="I120" t="s">
        <v>51</v>
      </c>
      <c r="J120" t="s">
        <v>21</v>
      </c>
      <c r="K120" t="s">
        <v>101</v>
      </c>
      <c r="L120" t="s">
        <v>304</v>
      </c>
      <c r="M120">
        <v>-4</v>
      </c>
      <c r="N120">
        <v>143</v>
      </c>
      <c r="O120" t="s">
        <v>26</v>
      </c>
      <c r="P120" t="s">
        <v>1718</v>
      </c>
      <c r="Q120" t="s">
        <v>27</v>
      </c>
      <c r="R120" t="str">
        <f>VLOOKUP(C120,Tabelle1!B:C,2,0)</f>
        <v>HGDP00545</v>
      </c>
    </row>
    <row r="121" spans="1:18" x14ac:dyDescent="0.3">
      <c r="A121">
        <v>120</v>
      </c>
      <c r="B121" t="s">
        <v>1720</v>
      </c>
      <c r="C121" t="s">
        <v>1143</v>
      </c>
      <c r="D121" t="s">
        <v>1145</v>
      </c>
      <c r="E121" t="s">
        <v>1721</v>
      </c>
      <c r="F121" t="s">
        <v>112</v>
      </c>
      <c r="G121" t="s">
        <v>32</v>
      </c>
      <c r="H121" t="s">
        <v>100</v>
      </c>
      <c r="I121" t="s">
        <v>51</v>
      </c>
      <c r="J121" t="s">
        <v>21</v>
      </c>
      <c r="K121" t="s">
        <v>101</v>
      </c>
      <c r="L121" t="s">
        <v>304</v>
      </c>
      <c r="M121">
        <v>-4</v>
      </c>
      <c r="N121">
        <v>143</v>
      </c>
      <c r="O121" t="s">
        <v>26</v>
      </c>
      <c r="P121" t="s">
        <v>1720</v>
      </c>
      <c r="Q121" t="s">
        <v>27</v>
      </c>
      <c r="R121" t="str">
        <f>VLOOKUP(C121,Tabelle1!B:C,2,0)</f>
        <v>HGDP00540</v>
      </c>
    </row>
    <row r="122" spans="1:18" x14ac:dyDescent="0.3">
      <c r="A122">
        <v>121</v>
      </c>
      <c r="B122" t="s">
        <v>1722</v>
      </c>
      <c r="C122" t="s">
        <v>301</v>
      </c>
      <c r="D122" t="s">
        <v>303</v>
      </c>
      <c r="E122" t="s">
        <v>1723</v>
      </c>
      <c r="F122" t="s">
        <v>112</v>
      </c>
      <c r="G122" t="s">
        <v>32</v>
      </c>
      <c r="H122" t="s">
        <v>100</v>
      </c>
      <c r="I122" t="s">
        <v>51</v>
      </c>
      <c r="J122" t="s">
        <v>21</v>
      </c>
      <c r="K122" t="s">
        <v>101</v>
      </c>
      <c r="L122" t="s">
        <v>304</v>
      </c>
      <c r="M122">
        <v>-4</v>
      </c>
      <c r="N122">
        <v>143</v>
      </c>
      <c r="O122" t="s">
        <v>26</v>
      </c>
      <c r="P122" t="s">
        <v>1722</v>
      </c>
      <c r="Q122" t="s">
        <v>27</v>
      </c>
      <c r="R122" t="str">
        <f>VLOOKUP(C122,Tabelle1!B:C,2,0)</f>
        <v>HGDP00541</v>
      </c>
    </row>
    <row r="123" spans="1:18" x14ac:dyDescent="0.3">
      <c r="A123">
        <v>122</v>
      </c>
      <c r="B123" t="s">
        <v>1724</v>
      </c>
      <c r="C123" t="s">
        <v>1125</v>
      </c>
      <c r="D123" t="s">
        <v>1127</v>
      </c>
      <c r="E123" t="s">
        <v>1725</v>
      </c>
      <c r="F123" t="s">
        <v>112</v>
      </c>
      <c r="G123" t="s">
        <v>120</v>
      </c>
      <c r="H123" t="s">
        <v>100</v>
      </c>
      <c r="I123" t="s">
        <v>51</v>
      </c>
      <c r="J123" t="s">
        <v>21</v>
      </c>
      <c r="K123" t="s">
        <v>101</v>
      </c>
      <c r="L123" t="s">
        <v>304</v>
      </c>
      <c r="M123">
        <v>-4</v>
      </c>
      <c r="N123">
        <v>143</v>
      </c>
      <c r="O123" t="s">
        <v>26</v>
      </c>
      <c r="P123" t="s">
        <v>1724</v>
      </c>
      <c r="Q123" t="s">
        <v>27</v>
      </c>
      <c r="R123" t="str">
        <f>VLOOKUP(C123,Tabelle1!B:C,2,0)</f>
        <v>HGDP00550</v>
      </c>
    </row>
    <row r="124" spans="1:18" x14ac:dyDescent="0.3">
      <c r="A124">
        <v>123</v>
      </c>
      <c r="B124" t="s">
        <v>1726</v>
      </c>
      <c r="C124" t="s">
        <v>1158</v>
      </c>
      <c r="D124" t="s">
        <v>1160</v>
      </c>
      <c r="E124" t="s">
        <v>1727</v>
      </c>
      <c r="F124" t="s">
        <v>112</v>
      </c>
      <c r="G124" t="s">
        <v>32</v>
      </c>
      <c r="H124" t="s">
        <v>100</v>
      </c>
      <c r="I124" t="s">
        <v>51</v>
      </c>
      <c r="J124" t="s">
        <v>21</v>
      </c>
      <c r="K124" t="s">
        <v>101</v>
      </c>
      <c r="L124" t="s">
        <v>304</v>
      </c>
      <c r="M124">
        <v>-4</v>
      </c>
      <c r="N124">
        <v>143</v>
      </c>
      <c r="O124" t="s">
        <v>26</v>
      </c>
      <c r="P124" t="s">
        <v>1726</v>
      </c>
      <c r="Q124" t="s">
        <v>27</v>
      </c>
      <c r="R124" t="str">
        <f>VLOOKUP(C124,Tabelle1!B:C,2,0)</f>
        <v>HGDP00549</v>
      </c>
    </row>
    <row r="125" spans="1:18" x14ac:dyDescent="0.3">
      <c r="A125">
        <v>124</v>
      </c>
      <c r="B125" t="s">
        <v>1728</v>
      </c>
      <c r="C125" t="s">
        <v>167</v>
      </c>
      <c r="D125" t="s">
        <v>169</v>
      </c>
      <c r="E125" t="s">
        <v>1729</v>
      </c>
      <c r="F125" t="s">
        <v>112</v>
      </c>
      <c r="G125" t="s">
        <v>120</v>
      </c>
      <c r="H125" t="s">
        <v>170</v>
      </c>
      <c r="I125" t="s">
        <v>1480</v>
      </c>
      <c r="J125" t="s">
        <v>126</v>
      </c>
      <c r="K125" t="s">
        <v>127</v>
      </c>
      <c r="L125" t="s">
        <v>1730</v>
      </c>
      <c r="M125">
        <v>57</v>
      </c>
      <c r="N125">
        <v>157</v>
      </c>
      <c r="O125" t="s">
        <v>121</v>
      </c>
      <c r="P125" t="s">
        <v>1728</v>
      </c>
      <c r="Q125" t="s">
        <v>27</v>
      </c>
      <c r="R125" t="str">
        <f>VLOOKUP(C125,Tabelle1!B:C,2,0)</f>
        <v>Kor82</v>
      </c>
    </row>
    <row r="126" spans="1:18" x14ac:dyDescent="0.3">
      <c r="A126">
        <v>125</v>
      </c>
      <c r="B126" t="s">
        <v>1731</v>
      </c>
      <c r="C126" t="s">
        <v>975</v>
      </c>
      <c r="D126" t="s">
        <v>977</v>
      </c>
      <c r="E126" t="s">
        <v>1732</v>
      </c>
      <c r="F126" t="s">
        <v>112</v>
      </c>
      <c r="G126" t="s">
        <v>120</v>
      </c>
      <c r="H126" t="s">
        <v>978</v>
      </c>
      <c r="I126" t="s">
        <v>51</v>
      </c>
      <c r="J126" t="s">
        <v>48</v>
      </c>
      <c r="K126" t="s">
        <v>49</v>
      </c>
      <c r="L126" t="s">
        <v>979</v>
      </c>
      <c r="M126">
        <v>44</v>
      </c>
      <c r="N126">
        <v>81</v>
      </c>
      <c r="O126" t="s">
        <v>26</v>
      </c>
      <c r="P126" t="s">
        <v>1731</v>
      </c>
      <c r="Q126" t="s">
        <v>27</v>
      </c>
      <c r="R126" t="str">
        <f>VLOOKUP(C126,Tabelle1!B:C,2,0)</f>
        <v>HGDP01306</v>
      </c>
    </row>
    <row r="127" spans="1:18" x14ac:dyDescent="0.3">
      <c r="A127">
        <v>126</v>
      </c>
      <c r="B127" t="s">
        <v>1733</v>
      </c>
      <c r="C127" t="s">
        <v>980</v>
      </c>
      <c r="D127" t="s">
        <v>982</v>
      </c>
      <c r="E127" t="s">
        <v>1734</v>
      </c>
      <c r="F127" t="s">
        <v>112</v>
      </c>
      <c r="G127" t="s">
        <v>32</v>
      </c>
      <c r="H127" t="s">
        <v>978</v>
      </c>
      <c r="I127" t="s">
        <v>51</v>
      </c>
      <c r="J127" t="s">
        <v>48</v>
      </c>
      <c r="K127" t="s">
        <v>49</v>
      </c>
      <c r="L127" t="s">
        <v>979</v>
      </c>
      <c r="M127">
        <v>44</v>
      </c>
      <c r="N127">
        <v>81</v>
      </c>
      <c r="O127" t="s">
        <v>26</v>
      </c>
      <c r="P127" t="s">
        <v>1733</v>
      </c>
      <c r="Q127" t="s">
        <v>27</v>
      </c>
      <c r="R127" t="str">
        <f>VLOOKUP(C127,Tabelle1!B:C,2,0)</f>
        <v>HGDP01297</v>
      </c>
    </row>
    <row r="128" spans="1:18" x14ac:dyDescent="0.3">
      <c r="A128">
        <v>127</v>
      </c>
      <c r="B128" t="s">
        <v>1735</v>
      </c>
      <c r="C128" t="s">
        <v>1030</v>
      </c>
      <c r="D128" t="s">
        <v>1032</v>
      </c>
      <c r="E128" t="s">
        <v>1736</v>
      </c>
      <c r="F128" t="s">
        <v>112</v>
      </c>
      <c r="G128" t="s">
        <v>32</v>
      </c>
      <c r="H128" t="s">
        <v>1028</v>
      </c>
      <c r="I128" t="s">
        <v>789</v>
      </c>
      <c r="J128" t="s">
        <v>79</v>
      </c>
      <c r="K128" t="s">
        <v>95</v>
      </c>
      <c r="L128" t="s">
        <v>1029</v>
      </c>
      <c r="M128">
        <v>16.5</v>
      </c>
      <c r="N128">
        <v>-97.2</v>
      </c>
      <c r="O128" t="s">
        <v>26</v>
      </c>
      <c r="P128" t="s">
        <v>1735</v>
      </c>
      <c r="Q128" t="s">
        <v>27</v>
      </c>
      <c r="R128" t="str">
        <f>VLOOKUP(C128,Tabelle1!B:C,2,0)</f>
        <v>zapo0099</v>
      </c>
    </row>
    <row r="129" spans="1:18" x14ac:dyDescent="0.3">
      <c r="A129">
        <v>128</v>
      </c>
      <c r="B129" t="s">
        <v>1737</v>
      </c>
      <c r="C129" t="s">
        <v>1025</v>
      </c>
      <c r="D129" t="s">
        <v>1027</v>
      </c>
      <c r="E129" t="s">
        <v>1738</v>
      </c>
      <c r="F129" t="s">
        <v>112</v>
      </c>
      <c r="G129" t="s">
        <v>32</v>
      </c>
      <c r="H129" t="s">
        <v>1028</v>
      </c>
      <c r="I129" t="s">
        <v>789</v>
      </c>
      <c r="J129" t="s">
        <v>79</v>
      </c>
      <c r="K129" t="s">
        <v>95</v>
      </c>
      <c r="L129" t="s">
        <v>1029</v>
      </c>
      <c r="M129">
        <v>16.5</v>
      </c>
      <c r="N129">
        <v>-97.2</v>
      </c>
      <c r="O129" t="s">
        <v>26</v>
      </c>
      <c r="P129" t="s">
        <v>1737</v>
      </c>
      <c r="Q129" t="s">
        <v>27</v>
      </c>
      <c r="R129" t="str">
        <f>VLOOKUP(C129,Tabelle1!B:C,2,0)</f>
        <v>zapo0098</v>
      </c>
    </row>
    <row r="130" spans="1:18" x14ac:dyDescent="0.3">
      <c r="A130">
        <v>129</v>
      </c>
      <c r="B130" t="s">
        <v>1739</v>
      </c>
      <c r="C130" t="s">
        <v>830</v>
      </c>
      <c r="D130" t="s">
        <v>832</v>
      </c>
      <c r="E130" t="s">
        <v>1740</v>
      </c>
      <c r="F130" t="s">
        <v>112</v>
      </c>
      <c r="G130" t="s">
        <v>120</v>
      </c>
      <c r="H130" t="s">
        <v>833</v>
      </c>
      <c r="I130" t="s">
        <v>51</v>
      </c>
      <c r="J130" t="s">
        <v>79</v>
      </c>
      <c r="K130" t="s">
        <v>834</v>
      </c>
      <c r="L130" t="s">
        <v>50</v>
      </c>
      <c r="M130">
        <v>3</v>
      </c>
      <c r="N130">
        <v>-68</v>
      </c>
      <c r="O130" t="s">
        <v>26</v>
      </c>
      <c r="P130" t="s">
        <v>1739</v>
      </c>
      <c r="Q130" t="s">
        <v>27</v>
      </c>
      <c r="R130" t="str">
        <f>VLOOKUP(C130,Tabelle1!B:C,2,0)</f>
        <v>HGDP00702</v>
      </c>
    </row>
    <row r="131" spans="1:18" x14ac:dyDescent="0.3">
      <c r="A131">
        <v>130</v>
      </c>
      <c r="B131" t="s">
        <v>1741</v>
      </c>
      <c r="C131" t="s">
        <v>835</v>
      </c>
      <c r="D131" t="s">
        <v>837</v>
      </c>
      <c r="E131" t="s">
        <v>1742</v>
      </c>
      <c r="F131" t="s">
        <v>112</v>
      </c>
      <c r="G131" t="s">
        <v>120</v>
      </c>
      <c r="H131" t="s">
        <v>833</v>
      </c>
      <c r="I131" t="s">
        <v>51</v>
      </c>
      <c r="J131" t="s">
        <v>79</v>
      </c>
      <c r="K131" t="s">
        <v>834</v>
      </c>
      <c r="L131" t="s">
        <v>50</v>
      </c>
      <c r="M131">
        <v>3</v>
      </c>
      <c r="N131">
        <v>-68</v>
      </c>
      <c r="O131" t="s">
        <v>26</v>
      </c>
      <c r="P131" t="s">
        <v>1741</v>
      </c>
      <c r="Q131" t="s">
        <v>27</v>
      </c>
      <c r="R131" t="str">
        <f>VLOOKUP(C131,Tabelle1!B:C,2,0)</f>
        <v>HGDP00706</v>
      </c>
    </row>
    <row r="132" spans="1:18" x14ac:dyDescent="0.3">
      <c r="A132">
        <v>131</v>
      </c>
      <c r="B132" t="s">
        <v>1743</v>
      </c>
      <c r="C132" t="s">
        <v>919</v>
      </c>
      <c r="D132" t="s">
        <v>921</v>
      </c>
      <c r="E132" t="s">
        <v>1744</v>
      </c>
      <c r="F132" t="s">
        <v>112</v>
      </c>
      <c r="G132" t="s">
        <v>32</v>
      </c>
      <c r="H132" t="s">
        <v>922</v>
      </c>
      <c r="I132" t="s">
        <v>1480</v>
      </c>
      <c r="J132" t="s">
        <v>126</v>
      </c>
      <c r="K132" t="s">
        <v>127</v>
      </c>
      <c r="L132" t="s">
        <v>1745</v>
      </c>
      <c r="M132">
        <v>53</v>
      </c>
      <c r="N132">
        <v>158.65</v>
      </c>
      <c r="O132" t="s">
        <v>121</v>
      </c>
      <c r="P132" t="s">
        <v>1743</v>
      </c>
      <c r="Q132" t="s">
        <v>27</v>
      </c>
      <c r="R132" t="str">
        <f>VLOOKUP(C132,Tabelle1!B:C,2,0)</f>
        <v>Ale32</v>
      </c>
    </row>
    <row r="133" spans="1:18" x14ac:dyDescent="0.3">
      <c r="A133">
        <v>132</v>
      </c>
      <c r="B133" t="s">
        <v>1746</v>
      </c>
      <c r="C133" t="s">
        <v>924</v>
      </c>
      <c r="D133" t="s">
        <v>926</v>
      </c>
      <c r="E133" t="s">
        <v>1747</v>
      </c>
      <c r="F133" t="s">
        <v>112</v>
      </c>
      <c r="G133" t="s">
        <v>120</v>
      </c>
      <c r="H133" t="s">
        <v>922</v>
      </c>
      <c r="I133" t="s">
        <v>1480</v>
      </c>
      <c r="J133" t="s">
        <v>126</v>
      </c>
      <c r="K133" t="s">
        <v>127</v>
      </c>
      <c r="L133" t="s">
        <v>1748</v>
      </c>
      <c r="M133">
        <v>55.18</v>
      </c>
      <c r="N133">
        <v>166</v>
      </c>
      <c r="O133" t="s">
        <v>121</v>
      </c>
      <c r="P133" t="s">
        <v>1746</v>
      </c>
      <c r="Q133" t="s">
        <v>27</v>
      </c>
      <c r="R133" t="str">
        <f>VLOOKUP(C133,Tabelle1!B:C,2,0)</f>
        <v>Ale14</v>
      </c>
    </row>
    <row r="134" spans="1:18" x14ac:dyDescent="0.3">
      <c r="A134">
        <v>133</v>
      </c>
      <c r="B134" t="s">
        <v>1749</v>
      </c>
      <c r="C134" t="s">
        <v>1161</v>
      </c>
      <c r="D134" t="s">
        <v>1163</v>
      </c>
      <c r="E134" t="s">
        <v>1750</v>
      </c>
      <c r="F134" t="s">
        <v>112</v>
      </c>
      <c r="G134" t="s">
        <v>32</v>
      </c>
      <c r="H134" t="s">
        <v>100</v>
      </c>
      <c r="I134" t="s">
        <v>51</v>
      </c>
      <c r="J134" t="s">
        <v>21</v>
      </c>
      <c r="K134" t="s">
        <v>101</v>
      </c>
      <c r="L134" t="s">
        <v>304</v>
      </c>
      <c r="M134">
        <v>-4</v>
      </c>
      <c r="N134">
        <v>143</v>
      </c>
      <c r="O134" t="s">
        <v>26</v>
      </c>
      <c r="P134" t="s">
        <v>1749</v>
      </c>
      <c r="Q134" t="s">
        <v>27</v>
      </c>
      <c r="R134" t="str">
        <f>VLOOKUP(C134,Tabelle1!B:C,2,0)</f>
        <v>HGDP00551</v>
      </c>
    </row>
    <row r="135" spans="1:18" x14ac:dyDescent="0.3">
      <c r="A135">
        <v>134</v>
      </c>
      <c r="B135" t="s">
        <v>1751</v>
      </c>
      <c r="C135" t="s">
        <v>383</v>
      </c>
      <c r="D135" t="s">
        <v>385</v>
      </c>
      <c r="E135" t="s">
        <v>1752</v>
      </c>
      <c r="F135" t="s">
        <v>112</v>
      </c>
      <c r="G135" t="s">
        <v>32</v>
      </c>
      <c r="H135" t="s">
        <v>386</v>
      </c>
      <c r="I135" t="s">
        <v>51</v>
      </c>
      <c r="J135" t="s">
        <v>56</v>
      </c>
      <c r="K135" t="s">
        <v>387</v>
      </c>
      <c r="L135" t="s">
        <v>50</v>
      </c>
      <c r="M135">
        <v>4</v>
      </c>
      <c r="N135">
        <v>17</v>
      </c>
      <c r="O135" t="s">
        <v>26</v>
      </c>
      <c r="P135" t="s">
        <v>1751</v>
      </c>
      <c r="Q135" t="s">
        <v>27</v>
      </c>
      <c r="R135" t="str">
        <f>VLOOKUP(C135,Tabelle1!B:C,2,0)</f>
        <v>HGDP00457</v>
      </c>
    </row>
    <row r="136" spans="1:18" x14ac:dyDescent="0.3">
      <c r="A136">
        <v>135</v>
      </c>
      <c r="B136" t="s">
        <v>1753</v>
      </c>
      <c r="C136" t="s">
        <v>388</v>
      </c>
      <c r="D136" t="s">
        <v>390</v>
      </c>
      <c r="E136" t="s">
        <v>1754</v>
      </c>
      <c r="F136" t="s">
        <v>112</v>
      </c>
      <c r="G136" t="s">
        <v>32</v>
      </c>
      <c r="H136" t="s">
        <v>386</v>
      </c>
      <c r="I136" t="s">
        <v>51</v>
      </c>
      <c r="J136" t="s">
        <v>56</v>
      </c>
      <c r="K136" t="s">
        <v>387</v>
      </c>
      <c r="L136" t="s">
        <v>50</v>
      </c>
      <c r="M136">
        <v>4</v>
      </c>
      <c r="N136">
        <v>17</v>
      </c>
      <c r="O136" t="s">
        <v>26</v>
      </c>
      <c r="P136" t="s">
        <v>1753</v>
      </c>
      <c r="Q136" t="s">
        <v>27</v>
      </c>
      <c r="R136" t="str">
        <f>VLOOKUP(C136,Tabelle1!B:C,2,0)</f>
        <v>HGDP00461</v>
      </c>
    </row>
    <row r="137" spans="1:18" x14ac:dyDescent="0.3">
      <c r="A137">
        <v>136</v>
      </c>
      <c r="B137" t="s">
        <v>1755</v>
      </c>
      <c r="C137" t="s">
        <v>875</v>
      </c>
      <c r="D137" t="s">
        <v>877</v>
      </c>
      <c r="E137" t="s">
        <v>1756</v>
      </c>
      <c r="F137" t="s">
        <v>112</v>
      </c>
      <c r="G137" t="s">
        <v>32</v>
      </c>
      <c r="H137" t="s">
        <v>874</v>
      </c>
      <c r="I137" t="s">
        <v>51</v>
      </c>
      <c r="J137" t="s">
        <v>48</v>
      </c>
      <c r="K137" t="s">
        <v>49</v>
      </c>
      <c r="L137" t="s">
        <v>50</v>
      </c>
      <c r="M137">
        <v>27</v>
      </c>
      <c r="N137">
        <v>119</v>
      </c>
      <c r="O137" t="s">
        <v>26</v>
      </c>
      <c r="P137" t="s">
        <v>1755</v>
      </c>
      <c r="Q137" t="s">
        <v>27</v>
      </c>
      <c r="R137" t="str">
        <f>VLOOKUP(C137,Tabelle1!B:C,2,0)</f>
        <v>HGDP01333</v>
      </c>
    </row>
    <row r="138" spans="1:18" x14ac:dyDescent="0.3">
      <c r="A138">
        <v>137</v>
      </c>
      <c r="B138" t="s">
        <v>1757</v>
      </c>
      <c r="C138" t="s">
        <v>457</v>
      </c>
      <c r="D138" t="s">
        <v>459</v>
      </c>
      <c r="E138" t="s">
        <v>1758</v>
      </c>
      <c r="F138" t="s">
        <v>112</v>
      </c>
      <c r="G138" t="s">
        <v>120</v>
      </c>
      <c r="H138" t="s">
        <v>460</v>
      </c>
      <c r="I138" t="s">
        <v>51</v>
      </c>
      <c r="J138" t="s">
        <v>37</v>
      </c>
      <c r="K138" t="s">
        <v>461</v>
      </c>
      <c r="L138" t="s">
        <v>50</v>
      </c>
      <c r="M138">
        <v>32</v>
      </c>
      <c r="N138">
        <v>35</v>
      </c>
      <c r="O138" t="s">
        <v>26</v>
      </c>
      <c r="P138" t="s">
        <v>1757</v>
      </c>
      <c r="Q138" t="s">
        <v>27</v>
      </c>
      <c r="R138" t="str">
        <f>VLOOKUP(C138,Tabelle1!B:C,2,0)</f>
        <v>HGDP00569</v>
      </c>
    </row>
    <row r="139" spans="1:18" x14ac:dyDescent="0.3">
      <c r="A139">
        <v>138</v>
      </c>
      <c r="B139" t="s">
        <v>1759</v>
      </c>
      <c r="C139" t="s">
        <v>462</v>
      </c>
      <c r="D139" t="s">
        <v>464</v>
      </c>
      <c r="E139" t="s">
        <v>1760</v>
      </c>
      <c r="F139" t="s">
        <v>112</v>
      </c>
      <c r="G139" t="s">
        <v>32</v>
      </c>
      <c r="H139" t="s">
        <v>460</v>
      </c>
      <c r="I139" t="s">
        <v>51</v>
      </c>
      <c r="J139" t="s">
        <v>37</v>
      </c>
      <c r="K139" t="s">
        <v>461</v>
      </c>
      <c r="L139" t="s">
        <v>50</v>
      </c>
      <c r="M139">
        <v>32</v>
      </c>
      <c r="N139">
        <v>35</v>
      </c>
      <c r="O139" t="s">
        <v>26</v>
      </c>
      <c r="P139" t="s">
        <v>1759</v>
      </c>
      <c r="Q139" t="s">
        <v>27</v>
      </c>
      <c r="R139" t="str">
        <f>VLOOKUP(C139,Tabelle1!B:C,2,0)</f>
        <v>HGDP00597</v>
      </c>
    </row>
    <row r="140" spans="1:18" x14ac:dyDescent="0.3">
      <c r="A140">
        <v>139</v>
      </c>
      <c r="B140" t="s">
        <v>1761</v>
      </c>
      <c r="C140" t="s">
        <v>102</v>
      </c>
      <c r="D140" t="s">
        <v>104</v>
      </c>
      <c r="E140" t="s">
        <v>1762</v>
      </c>
      <c r="F140" t="s">
        <v>16</v>
      </c>
      <c r="G140" t="s">
        <v>32</v>
      </c>
      <c r="H140" t="s">
        <v>105</v>
      </c>
      <c r="I140" t="s">
        <v>51</v>
      </c>
      <c r="J140" t="s">
        <v>37</v>
      </c>
      <c r="K140" t="s">
        <v>106</v>
      </c>
      <c r="L140" t="s">
        <v>50</v>
      </c>
      <c r="M140">
        <v>40</v>
      </c>
      <c r="N140">
        <v>9</v>
      </c>
      <c r="O140" t="s">
        <v>26</v>
      </c>
      <c r="P140" t="s">
        <v>1761</v>
      </c>
      <c r="Q140" t="s">
        <v>27</v>
      </c>
      <c r="R140" t="str">
        <f>VLOOKUP(C140,Tabelle1!B:C,2,0)</f>
        <v>HGDP01076</v>
      </c>
    </row>
    <row r="141" spans="1:18" x14ac:dyDescent="0.3">
      <c r="A141">
        <v>140</v>
      </c>
      <c r="B141" t="s">
        <v>1763</v>
      </c>
      <c r="C141" t="s">
        <v>331</v>
      </c>
      <c r="D141" t="s">
        <v>333</v>
      </c>
      <c r="E141" t="s">
        <v>1764</v>
      </c>
      <c r="F141" t="s">
        <v>112</v>
      </c>
      <c r="G141" t="s">
        <v>32</v>
      </c>
      <c r="H141" t="s">
        <v>334</v>
      </c>
      <c r="I141" t="s">
        <v>134</v>
      </c>
      <c r="J141" t="s">
        <v>48</v>
      </c>
      <c r="K141" t="s">
        <v>133</v>
      </c>
      <c r="L141" t="s">
        <v>23</v>
      </c>
      <c r="M141">
        <v>22.843145</v>
      </c>
      <c r="N141">
        <v>121.185356</v>
      </c>
      <c r="O141" t="s">
        <v>26</v>
      </c>
      <c r="P141" t="s">
        <v>1763</v>
      </c>
      <c r="Q141" t="s">
        <v>27</v>
      </c>
      <c r="R141" t="str">
        <f>VLOOKUP(C141,Tabelle1!B:C,2,0)</f>
        <v>NA13607</v>
      </c>
    </row>
    <row r="142" spans="1:18" x14ac:dyDescent="0.3">
      <c r="A142">
        <v>141</v>
      </c>
      <c r="B142" t="s">
        <v>1765</v>
      </c>
      <c r="C142" t="s">
        <v>335</v>
      </c>
      <c r="D142" t="s">
        <v>337</v>
      </c>
      <c r="E142" t="s">
        <v>1766</v>
      </c>
      <c r="F142" t="s">
        <v>112</v>
      </c>
      <c r="G142" t="s">
        <v>32</v>
      </c>
      <c r="H142" t="s">
        <v>334</v>
      </c>
      <c r="I142" t="s">
        <v>134</v>
      </c>
      <c r="J142" t="s">
        <v>48</v>
      </c>
      <c r="K142" t="s">
        <v>133</v>
      </c>
      <c r="L142" t="s">
        <v>23</v>
      </c>
      <c r="M142">
        <v>22.843145</v>
      </c>
      <c r="N142">
        <v>121.185356</v>
      </c>
      <c r="O142" t="s">
        <v>26</v>
      </c>
      <c r="P142" t="s">
        <v>1765</v>
      </c>
      <c r="Q142" t="s">
        <v>27</v>
      </c>
      <c r="R142" t="str">
        <f>VLOOKUP(C142,Tabelle1!B:C,2,0)</f>
        <v>NA13616</v>
      </c>
    </row>
    <row r="143" spans="1:18" x14ac:dyDescent="0.3">
      <c r="A143">
        <v>142</v>
      </c>
      <c r="B143" t="s">
        <v>1767</v>
      </c>
      <c r="C143" t="s">
        <v>44</v>
      </c>
      <c r="D143" t="s">
        <v>46</v>
      </c>
      <c r="E143" t="s">
        <v>1768</v>
      </c>
      <c r="F143" t="s">
        <v>16</v>
      </c>
      <c r="G143" t="s">
        <v>32</v>
      </c>
      <c r="H143" t="s">
        <v>47</v>
      </c>
      <c r="I143" t="s">
        <v>51</v>
      </c>
      <c r="J143" t="s">
        <v>48</v>
      </c>
      <c r="K143" t="s">
        <v>49</v>
      </c>
      <c r="L143" t="s">
        <v>50</v>
      </c>
      <c r="M143">
        <v>21</v>
      </c>
      <c r="N143">
        <v>100</v>
      </c>
      <c r="O143" t="s">
        <v>26</v>
      </c>
      <c r="P143" t="s">
        <v>1767</v>
      </c>
      <c r="Q143" t="s">
        <v>27</v>
      </c>
      <c r="R143" t="str">
        <f>VLOOKUP(C143,Tabelle1!B:C,2,0)</f>
        <v>HGDP01308</v>
      </c>
    </row>
    <row r="144" spans="1:18" x14ac:dyDescent="0.3">
      <c r="A144">
        <v>143</v>
      </c>
      <c r="B144" t="s">
        <v>1769</v>
      </c>
      <c r="C144" t="s">
        <v>703</v>
      </c>
      <c r="D144" t="s">
        <v>705</v>
      </c>
      <c r="E144" t="s">
        <v>1770</v>
      </c>
      <c r="F144" t="s">
        <v>112</v>
      </c>
      <c r="G144" t="s">
        <v>120</v>
      </c>
      <c r="H144" t="s">
        <v>706</v>
      </c>
      <c r="I144" t="s">
        <v>134</v>
      </c>
      <c r="J144" t="s">
        <v>56</v>
      </c>
      <c r="K144" t="s">
        <v>207</v>
      </c>
      <c r="L144" t="s">
        <v>707</v>
      </c>
      <c r="M144">
        <v>1.3</v>
      </c>
      <c r="N144">
        <v>36.799999999999997</v>
      </c>
      <c r="O144" t="s">
        <v>26</v>
      </c>
      <c r="P144" t="s">
        <v>1769</v>
      </c>
      <c r="Q144" t="s">
        <v>27</v>
      </c>
      <c r="R144" t="str">
        <f>VLOOKUP(C144,Tabelle1!B:C,2,0)</f>
        <v>NA19023</v>
      </c>
    </row>
    <row r="145" spans="1:18" x14ac:dyDescent="0.3">
      <c r="A145">
        <v>144</v>
      </c>
      <c r="B145" t="s">
        <v>1771</v>
      </c>
      <c r="C145" t="s">
        <v>229</v>
      </c>
      <c r="D145" t="s">
        <v>231</v>
      </c>
      <c r="E145" t="s">
        <v>1772</v>
      </c>
      <c r="F145" t="s">
        <v>112</v>
      </c>
      <c r="G145" t="s">
        <v>32</v>
      </c>
      <c r="H145" t="s">
        <v>232</v>
      </c>
      <c r="I145" t="s">
        <v>51</v>
      </c>
      <c r="J145" t="s">
        <v>37</v>
      </c>
      <c r="K145" t="s">
        <v>233</v>
      </c>
      <c r="L145" t="s">
        <v>50</v>
      </c>
      <c r="M145">
        <v>46</v>
      </c>
      <c r="N145">
        <v>10</v>
      </c>
      <c r="O145" t="s">
        <v>26</v>
      </c>
      <c r="P145" t="s">
        <v>1771</v>
      </c>
      <c r="Q145" t="s">
        <v>27</v>
      </c>
      <c r="R145" t="str">
        <f>VLOOKUP(C145,Tabelle1!B:C,2,0)</f>
        <v>HGDP01153</v>
      </c>
    </row>
    <row r="146" spans="1:18" x14ac:dyDescent="0.3">
      <c r="A146">
        <v>145</v>
      </c>
      <c r="B146" t="s">
        <v>1773</v>
      </c>
      <c r="C146" t="s">
        <v>234</v>
      </c>
      <c r="D146" t="s">
        <v>236</v>
      </c>
      <c r="E146" t="s">
        <v>1774</v>
      </c>
      <c r="F146" t="s">
        <v>112</v>
      </c>
      <c r="G146" t="s">
        <v>120</v>
      </c>
      <c r="H146" t="s">
        <v>232</v>
      </c>
      <c r="I146" t="s">
        <v>51</v>
      </c>
      <c r="J146" t="s">
        <v>37</v>
      </c>
      <c r="K146" t="s">
        <v>233</v>
      </c>
      <c r="L146" t="s">
        <v>50</v>
      </c>
      <c r="M146">
        <v>46</v>
      </c>
      <c r="N146">
        <v>10</v>
      </c>
      <c r="O146" t="s">
        <v>26</v>
      </c>
      <c r="P146" t="s">
        <v>1773</v>
      </c>
      <c r="Q146" t="s">
        <v>27</v>
      </c>
      <c r="R146" t="str">
        <f>VLOOKUP(C146,Tabelle1!B:C,2,0)</f>
        <v>HGDP01172</v>
      </c>
    </row>
    <row r="147" spans="1:18" x14ac:dyDescent="0.3">
      <c r="A147">
        <v>146</v>
      </c>
      <c r="B147" t="s">
        <v>1775</v>
      </c>
      <c r="C147" t="s">
        <v>626</v>
      </c>
      <c r="D147" t="s">
        <v>628</v>
      </c>
      <c r="E147" t="s">
        <v>1776</v>
      </c>
      <c r="F147" t="s">
        <v>112</v>
      </c>
      <c r="G147" t="s">
        <v>32</v>
      </c>
      <c r="H147" t="s">
        <v>629</v>
      </c>
      <c r="I147" t="s">
        <v>178</v>
      </c>
      <c r="J147" t="s">
        <v>176</v>
      </c>
      <c r="K147" t="s">
        <v>177</v>
      </c>
      <c r="L147" t="s">
        <v>403</v>
      </c>
      <c r="M147">
        <v>17.7</v>
      </c>
      <c r="N147">
        <v>83.3</v>
      </c>
      <c r="O147" t="s">
        <v>121</v>
      </c>
      <c r="P147" t="s">
        <v>1775</v>
      </c>
      <c r="Q147" t="s">
        <v>27</v>
      </c>
      <c r="R147" t="str">
        <f>VLOOKUP(C147,Tabelle1!B:C,2,0)</f>
        <v>K1</v>
      </c>
    </row>
    <row r="148" spans="1:18" x14ac:dyDescent="0.3">
      <c r="A148">
        <v>147</v>
      </c>
      <c r="B148" t="s">
        <v>1777</v>
      </c>
      <c r="C148" t="s">
        <v>630</v>
      </c>
      <c r="D148" t="s">
        <v>632</v>
      </c>
      <c r="E148" t="s">
        <v>1778</v>
      </c>
      <c r="F148" t="s">
        <v>112</v>
      </c>
      <c r="G148" t="s">
        <v>32</v>
      </c>
      <c r="H148" t="s">
        <v>629</v>
      </c>
      <c r="I148" t="s">
        <v>178</v>
      </c>
      <c r="J148" t="s">
        <v>176</v>
      </c>
      <c r="K148" t="s">
        <v>177</v>
      </c>
      <c r="L148" t="s">
        <v>403</v>
      </c>
      <c r="M148">
        <v>17.7</v>
      </c>
      <c r="N148">
        <v>83.3</v>
      </c>
      <c r="O148" t="s">
        <v>121</v>
      </c>
      <c r="P148" t="s">
        <v>1777</v>
      </c>
      <c r="Q148" t="s">
        <v>27</v>
      </c>
      <c r="R148" t="str">
        <f>VLOOKUP(C148,Tabelle1!B:C,2,0)</f>
        <v>K4</v>
      </c>
    </row>
    <row r="149" spans="1:18" x14ac:dyDescent="0.3">
      <c r="A149">
        <v>148</v>
      </c>
      <c r="B149" t="s">
        <v>1779</v>
      </c>
      <c r="C149" t="s">
        <v>963</v>
      </c>
      <c r="D149" t="s">
        <v>965</v>
      </c>
      <c r="E149" t="s">
        <v>1780</v>
      </c>
      <c r="F149" t="s">
        <v>112</v>
      </c>
      <c r="G149" t="s">
        <v>32</v>
      </c>
      <c r="H149" t="s">
        <v>961</v>
      </c>
      <c r="I149" t="s">
        <v>51</v>
      </c>
      <c r="J149" t="s">
        <v>37</v>
      </c>
      <c r="K149" t="s">
        <v>962</v>
      </c>
      <c r="L149" t="s">
        <v>50</v>
      </c>
      <c r="M149">
        <v>43</v>
      </c>
      <c r="N149">
        <v>11</v>
      </c>
      <c r="O149" t="s">
        <v>26</v>
      </c>
      <c r="P149" t="s">
        <v>1779</v>
      </c>
      <c r="Q149" t="s">
        <v>27</v>
      </c>
      <c r="R149" t="str">
        <f>VLOOKUP(C149,Tabelle1!B:C,2,0)</f>
        <v>HGDP01163</v>
      </c>
    </row>
    <row r="150" spans="1:18" x14ac:dyDescent="0.3">
      <c r="A150">
        <v>149</v>
      </c>
      <c r="B150" t="s">
        <v>1781</v>
      </c>
      <c r="C150" t="s">
        <v>1095</v>
      </c>
      <c r="D150" t="s">
        <v>1097</v>
      </c>
      <c r="E150" t="s">
        <v>1782</v>
      </c>
      <c r="F150" t="s">
        <v>112</v>
      </c>
      <c r="G150" t="s">
        <v>120</v>
      </c>
      <c r="H150" t="s">
        <v>1094</v>
      </c>
      <c r="I150" t="s">
        <v>51</v>
      </c>
      <c r="J150" t="s">
        <v>48</v>
      </c>
      <c r="K150" t="s">
        <v>49</v>
      </c>
      <c r="L150" t="s">
        <v>50</v>
      </c>
      <c r="M150">
        <v>26</v>
      </c>
      <c r="N150">
        <v>100</v>
      </c>
      <c r="O150" t="s">
        <v>26</v>
      </c>
      <c r="P150" t="s">
        <v>1781</v>
      </c>
      <c r="Q150" t="s">
        <v>27</v>
      </c>
      <c r="R150" t="str">
        <f>VLOOKUP(C150,Tabelle1!B:C,2,0)</f>
        <v>HGDP01345</v>
      </c>
    </row>
    <row r="151" spans="1:18" x14ac:dyDescent="0.3">
      <c r="A151">
        <v>150</v>
      </c>
      <c r="B151" t="s">
        <v>1783</v>
      </c>
      <c r="C151" t="s">
        <v>1784</v>
      </c>
      <c r="D151" t="s">
        <v>1785</v>
      </c>
      <c r="E151" t="s">
        <v>1786</v>
      </c>
      <c r="F151" t="s">
        <v>112</v>
      </c>
      <c r="G151" t="s">
        <v>32</v>
      </c>
      <c r="H151" t="s">
        <v>1094</v>
      </c>
      <c r="I151" t="s">
        <v>51</v>
      </c>
      <c r="J151" t="s">
        <v>48</v>
      </c>
      <c r="K151" t="s">
        <v>49</v>
      </c>
      <c r="L151" t="s">
        <v>50</v>
      </c>
      <c r="M151">
        <v>26</v>
      </c>
      <c r="N151">
        <v>100</v>
      </c>
      <c r="O151" t="s">
        <v>26</v>
      </c>
      <c r="P151" t="s">
        <v>1783</v>
      </c>
      <c r="Q151" t="s">
        <v>27</v>
      </c>
      <c r="R151" t="e">
        <f>VLOOKUP(C151,Tabelle1!B:C,2,0)</f>
        <v>#N/A</v>
      </c>
    </row>
    <row r="152" spans="1:18" x14ac:dyDescent="0.3">
      <c r="A152">
        <v>151</v>
      </c>
      <c r="B152" t="s">
        <v>1787</v>
      </c>
      <c r="C152" t="s">
        <v>1091</v>
      </c>
      <c r="D152" t="s">
        <v>1093</v>
      </c>
      <c r="E152" t="s">
        <v>1788</v>
      </c>
      <c r="F152" t="s">
        <v>112</v>
      </c>
      <c r="G152" t="s">
        <v>32</v>
      </c>
      <c r="H152" t="s">
        <v>1094</v>
      </c>
      <c r="I152" t="s">
        <v>51</v>
      </c>
      <c r="J152" t="s">
        <v>48</v>
      </c>
      <c r="K152" t="s">
        <v>49</v>
      </c>
      <c r="L152" t="s">
        <v>50</v>
      </c>
      <c r="M152">
        <v>26</v>
      </c>
      <c r="N152">
        <v>100</v>
      </c>
      <c r="O152" t="s">
        <v>26</v>
      </c>
      <c r="P152" t="s">
        <v>1787</v>
      </c>
      <c r="Q152" t="s">
        <v>27</v>
      </c>
      <c r="R152" t="str">
        <f>VLOOKUP(C152,Tabelle1!B:C,2,0)</f>
        <v>HGDP01338</v>
      </c>
    </row>
    <row r="153" spans="1:18" x14ac:dyDescent="0.3">
      <c r="A153">
        <v>152</v>
      </c>
      <c r="B153" t="s">
        <v>1789</v>
      </c>
      <c r="C153" t="s">
        <v>1022</v>
      </c>
      <c r="D153" t="s">
        <v>1024</v>
      </c>
      <c r="E153" t="s">
        <v>1790</v>
      </c>
      <c r="F153" t="s">
        <v>112</v>
      </c>
      <c r="G153" t="s">
        <v>32</v>
      </c>
      <c r="H153" t="s">
        <v>110</v>
      </c>
      <c r="I153" t="s">
        <v>51</v>
      </c>
      <c r="J153" t="s">
        <v>56</v>
      </c>
      <c r="K153" t="s">
        <v>111</v>
      </c>
      <c r="L153" t="s">
        <v>50</v>
      </c>
      <c r="M153">
        <v>7.4</v>
      </c>
      <c r="N153">
        <v>3.9</v>
      </c>
      <c r="O153" t="s">
        <v>26</v>
      </c>
      <c r="P153" t="s">
        <v>1789</v>
      </c>
      <c r="Q153" t="s">
        <v>27</v>
      </c>
      <c r="R153" t="str">
        <f>VLOOKUP(C153,Tabelle1!B:C,2,0)</f>
        <v>HGDP00932</v>
      </c>
    </row>
    <row r="154" spans="1:18" x14ac:dyDescent="0.3">
      <c r="A154">
        <v>153</v>
      </c>
      <c r="B154" t="s">
        <v>1791</v>
      </c>
      <c r="C154" t="s">
        <v>1019</v>
      </c>
      <c r="D154" t="s">
        <v>1021</v>
      </c>
      <c r="E154" t="s">
        <v>1792</v>
      </c>
      <c r="F154" t="s">
        <v>112</v>
      </c>
      <c r="G154" t="s">
        <v>120</v>
      </c>
      <c r="H154" t="s">
        <v>110</v>
      </c>
      <c r="I154" t="s">
        <v>51</v>
      </c>
      <c r="J154" t="s">
        <v>56</v>
      </c>
      <c r="K154" t="s">
        <v>111</v>
      </c>
      <c r="L154" t="s">
        <v>50</v>
      </c>
      <c r="M154">
        <v>7.4</v>
      </c>
      <c r="N154">
        <v>3.9</v>
      </c>
      <c r="O154" t="s">
        <v>26</v>
      </c>
      <c r="P154" t="s">
        <v>1791</v>
      </c>
      <c r="Q154" t="s">
        <v>27</v>
      </c>
      <c r="R154" t="str">
        <f>VLOOKUP(C154,Tabelle1!B:C,2,0)</f>
        <v>HGDP00928</v>
      </c>
    </row>
    <row r="155" spans="1:18" x14ac:dyDescent="0.3">
      <c r="A155">
        <v>154</v>
      </c>
      <c r="B155" t="s">
        <v>1793</v>
      </c>
      <c r="C155" t="s">
        <v>894</v>
      </c>
      <c r="D155" t="s">
        <v>896</v>
      </c>
      <c r="E155" t="s">
        <v>1794</v>
      </c>
      <c r="F155" t="s">
        <v>112</v>
      </c>
      <c r="G155" t="s">
        <v>120</v>
      </c>
      <c r="H155" t="s">
        <v>897</v>
      </c>
      <c r="I155" t="s">
        <v>51</v>
      </c>
      <c r="J155" t="s">
        <v>79</v>
      </c>
      <c r="K155" t="s">
        <v>80</v>
      </c>
      <c r="L155" t="s">
        <v>50</v>
      </c>
      <c r="M155">
        <v>-11</v>
      </c>
      <c r="N155">
        <v>-62</v>
      </c>
      <c r="O155" t="s">
        <v>26</v>
      </c>
      <c r="P155" t="s">
        <v>1793</v>
      </c>
      <c r="Q155" t="s">
        <v>27</v>
      </c>
      <c r="R155" t="str">
        <f>VLOOKUP(C155,Tabelle1!B:C,2,0)</f>
        <v>HGDP00846</v>
      </c>
    </row>
    <row r="156" spans="1:18" x14ac:dyDescent="0.3">
      <c r="A156">
        <v>155</v>
      </c>
      <c r="B156" t="s">
        <v>1795</v>
      </c>
      <c r="C156" t="s">
        <v>898</v>
      </c>
      <c r="D156" t="s">
        <v>900</v>
      </c>
      <c r="E156" t="s">
        <v>1796</v>
      </c>
      <c r="F156" t="s">
        <v>112</v>
      </c>
      <c r="G156" t="s">
        <v>120</v>
      </c>
      <c r="H156" t="s">
        <v>897</v>
      </c>
      <c r="I156" t="s">
        <v>51</v>
      </c>
      <c r="J156" t="s">
        <v>79</v>
      </c>
      <c r="K156" t="s">
        <v>80</v>
      </c>
      <c r="L156" t="s">
        <v>50</v>
      </c>
      <c r="M156">
        <v>-11</v>
      </c>
      <c r="N156">
        <v>-62</v>
      </c>
      <c r="O156" t="s">
        <v>26</v>
      </c>
      <c r="P156" t="s">
        <v>1795</v>
      </c>
      <c r="Q156" t="s">
        <v>27</v>
      </c>
      <c r="R156" t="str">
        <f>VLOOKUP(C156,Tabelle1!B:C,2,0)</f>
        <v>HGDP00852</v>
      </c>
    </row>
    <row r="157" spans="1:18" x14ac:dyDescent="0.3">
      <c r="A157">
        <v>156</v>
      </c>
      <c r="B157" t="s">
        <v>1797</v>
      </c>
      <c r="C157" t="s">
        <v>353</v>
      </c>
      <c r="D157" t="s">
        <v>355</v>
      </c>
      <c r="E157" t="s">
        <v>1798</v>
      </c>
      <c r="F157" t="s">
        <v>112</v>
      </c>
      <c r="G157" t="s">
        <v>32</v>
      </c>
      <c r="H157" t="s">
        <v>356</v>
      </c>
      <c r="I157" t="s">
        <v>51</v>
      </c>
      <c r="J157" t="s">
        <v>56</v>
      </c>
      <c r="K157" t="s">
        <v>342</v>
      </c>
      <c r="L157" t="s">
        <v>50</v>
      </c>
      <c r="M157">
        <v>-28</v>
      </c>
      <c r="N157">
        <v>24</v>
      </c>
      <c r="O157" t="s">
        <v>26</v>
      </c>
      <c r="P157" t="s">
        <v>1797</v>
      </c>
      <c r="Q157" t="s">
        <v>27</v>
      </c>
      <c r="R157" t="str">
        <f>VLOOKUP(C157,Tabelle1!B:C,2,0)</f>
        <v>HGDP01030</v>
      </c>
    </row>
    <row r="158" spans="1:18" x14ac:dyDescent="0.3">
      <c r="A158">
        <v>157</v>
      </c>
      <c r="B158" t="s">
        <v>1799</v>
      </c>
      <c r="C158" t="s">
        <v>357</v>
      </c>
      <c r="D158" t="s">
        <v>359</v>
      </c>
      <c r="E158" t="s">
        <v>1800</v>
      </c>
      <c r="F158" t="s">
        <v>112</v>
      </c>
      <c r="G158" t="s">
        <v>32</v>
      </c>
      <c r="H158" t="s">
        <v>356</v>
      </c>
      <c r="I158" t="s">
        <v>51</v>
      </c>
      <c r="J158" t="s">
        <v>56</v>
      </c>
      <c r="K158" t="s">
        <v>342</v>
      </c>
      <c r="L158" t="s">
        <v>50</v>
      </c>
      <c r="M158">
        <v>-28</v>
      </c>
      <c r="N158">
        <v>24</v>
      </c>
      <c r="O158" t="s">
        <v>26</v>
      </c>
      <c r="P158" t="s">
        <v>1799</v>
      </c>
      <c r="Q158" t="s">
        <v>27</v>
      </c>
      <c r="R158" t="str">
        <f>VLOOKUP(C158,Tabelle1!B:C,2,0)</f>
        <v>HGDP01034</v>
      </c>
    </row>
    <row r="159" spans="1:18" x14ac:dyDescent="0.3">
      <c r="A159">
        <v>158</v>
      </c>
      <c r="B159" t="s">
        <v>1801</v>
      </c>
      <c r="C159" t="s">
        <v>997</v>
      </c>
      <c r="D159" t="s">
        <v>999</v>
      </c>
      <c r="E159" t="s">
        <v>1802</v>
      </c>
      <c r="F159" t="s">
        <v>112</v>
      </c>
      <c r="G159" t="s">
        <v>120</v>
      </c>
      <c r="H159" t="s">
        <v>1000</v>
      </c>
      <c r="I159" t="s">
        <v>51</v>
      </c>
      <c r="J159" t="s">
        <v>126</v>
      </c>
      <c r="K159" t="s">
        <v>127</v>
      </c>
      <c r="L159" t="s">
        <v>50</v>
      </c>
      <c r="M159">
        <v>63</v>
      </c>
      <c r="N159">
        <v>129.5</v>
      </c>
      <c r="O159" t="s">
        <v>26</v>
      </c>
      <c r="P159" t="s">
        <v>1801</v>
      </c>
      <c r="Q159" t="s">
        <v>27</v>
      </c>
      <c r="R159" t="str">
        <f>VLOOKUP(C159,Tabelle1!B:C,2,0)</f>
        <v>HGDP00956</v>
      </c>
    </row>
    <row r="160" spans="1:18" x14ac:dyDescent="0.3">
      <c r="A160">
        <v>159</v>
      </c>
      <c r="B160" t="s">
        <v>1803</v>
      </c>
      <c r="C160" t="s">
        <v>421</v>
      </c>
      <c r="D160" t="s">
        <v>423</v>
      </c>
      <c r="E160" t="s">
        <v>1804</v>
      </c>
      <c r="F160" t="s">
        <v>112</v>
      </c>
      <c r="G160" t="s">
        <v>32</v>
      </c>
      <c r="H160" t="s">
        <v>417</v>
      </c>
      <c r="I160" t="s">
        <v>420</v>
      </c>
      <c r="J160" t="s">
        <v>37</v>
      </c>
      <c r="K160" t="s">
        <v>418</v>
      </c>
      <c r="L160" t="s">
        <v>419</v>
      </c>
      <c r="M160">
        <v>42.162999999999997</v>
      </c>
      <c r="N160">
        <v>24.741</v>
      </c>
      <c r="O160" t="s">
        <v>121</v>
      </c>
      <c r="P160" t="s">
        <v>1803</v>
      </c>
      <c r="Q160" t="s">
        <v>27</v>
      </c>
      <c r="R160" t="str">
        <f>VLOOKUP(C160,Tabelle1!B:C,2,0)</f>
        <v>BulgarianC1</v>
      </c>
    </row>
    <row r="161" spans="1:18" x14ac:dyDescent="0.3">
      <c r="A161">
        <v>160</v>
      </c>
      <c r="B161" t="s">
        <v>1805</v>
      </c>
      <c r="C161" t="s">
        <v>414</v>
      </c>
      <c r="D161" t="s">
        <v>416</v>
      </c>
      <c r="E161" t="s">
        <v>1806</v>
      </c>
      <c r="F161" t="s">
        <v>112</v>
      </c>
      <c r="G161" t="s">
        <v>32</v>
      </c>
      <c r="H161" t="s">
        <v>417</v>
      </c>
      <c r="I161" t="s">
        <v>420</v>
      </c>
      <c r="J161" t="s">
        <v>37</v>
      </c>
      <c r="K161" t="s">
        <v>418</v>
      </c>
      <c r="L161" t="s">
        <v>419</v>
      </c>
      <c r="M161">
        <v>42.162999999999997</v>
      </c>
      <c r="N161">
        <v>24.741</v>
      </c>
      <c r="O161" t="s">
        <v>121</v>
      </c>
      <c r="P161" t="s">
        <v>1805</v>
      </c>
      <c r="Q161" t="s">
        <v>27</v>
      </c>
      <c r="R161" t="str">
        <f>VLOOKUP(C161,Tabelle1!B:C,2,0)</f>
        <v>BulgarianB4</v>
      </c>
    </row>
    <row r="162" spans="1:18" x14ac:dyDescent="0.3">
      <c r="A162">
        <v>161</v>
      </c>
      <c r="B162" t="s">
        <v>1807</v>
      </c>
      <c r="C162" t="s">
        <v>616</v>
      </c>
      <c r="D162" t="s">
        <v>618</v>
      </c>
      <c r="E162" t="s">
        <v>1808</v>
      </c>
      <c r="F162" t="s">
        <v>112</v>
      </c>
      <c r="G162" t="s">
        <v>32</v>
      </c>
      <c r="H162" t="s">
        <v>615</v>
      </c>
      <c r="I162" t="s">
        <v>178</v>
      </c>
      <c r="J162" t="s">
        <v>176</v>
      </c>
      <c r="K162" t="s">
        <v>177</v>
      </c>
      <c r="L162" t="s">
        <v>50</v>
      </c>
      <c r="M162">
        <v>13.5</v>
      </c>
      <c r="N162">
        <v>80</v>
      </c>
      <c r="O162" t="s">
        <v>121</v>
      </c>
      <c r="P162" t="s">
        <v>1807</v>
      </c>
      <c r="Q162" t="s">
        <v>27</v>
      </c>
      <c r="R162" t="str">
        <f>VLOOKUP(C162,Tabelle1!B:C,2,0)</f>
        <v>I3</v>
      </c>
    </row>
    <row r="163" spans="1:18" x14ac:dyDescent="0.3">
      <c r="A163">
        <v>162</v>
      </c>
      <c r="B163" t="s">
        <v>1809</v>
      </c>
      <c r="C163" t="s">
        <v>612</v>
      </c>
      <c r="D163" t="s">
        <v>614</v>
      </c>
      <c r="E163" t="s">
        <v>1810</v>
      </c>
      <c r="F163" t="s">
        <v>112</v>
      </c>
      <c r="G163" t="s">
        <v>32</v>
      </c>
      <c r="H163" t="s">
        <v>615</v>
      </c>
      <c r="I163" t="s">
        <v>178</v>
      </c>
      <c r="J163" t="s">
        <v>176</v>
      </c>
      <c r="K163" t="s">
        <v>177</v>
      </c>
      <c r="L163" t="s">
        <v>50</v>
      </c>
      <c r="M163">
        <v>13.5</v>
      </c>
      <c r="N163">
        <v>80</v>
      </c>
      <c r="O163" t="s">
        <v>121</v>
      </c>
      <c r="P163" t="s">
        <v>1809</v>
      </c>
      <c r="Q163" t="s">
        <v>27</v>
      </c>
      <c r="R163" t="str">
        <f>VLOOKUP(C163,Tabelle1!B:C,2,0)</f>
        <v>I1</v>
      </c>
    </row>
    <row r="164" spans="1:18" x14ac:dyDescent="0.3">
      <c r="A164">
        <v>163</v>
      </c>
      <c r="B164" t="s">
        <v>1811</v>
      </c>
      <c r="C164" t="s">
        <v>439</v>
      </c>
      <c r="D164" t="s">
        <v>441</v>
      </c>
      <c r="E164" t="s">
        <v>1812</v>
      </c>
      <c r="F164" t="s">
        <v>112</v>
      </c>
      <c r="G164" t="s">
        <v>120</v>
      </c>
      <c r="H164" t="s">
        <v>438</v>
      </c>
      <c r="I164" t="s">
        <v>51</v>
      </c>
      <c r="J164" t="s">
        <v>176</v>
      </c>
      <c r="K164" t="s">
        <v>225</v>
      </c>
      <c r="L164" t="s">
        <v>50</v>
      </c>
      <c r="M164">
        <v>36.5</v>
      </c>
      <c r="N164">
        <v>74</v>
      </c>
      <c r="O164" t="s">
        <v>26</v>
      </c>
      <c r="P164" t="s">
        <v>1811</v>
      </c>
      <c r="Q164" t="s">
        <v>27</v>
      </c>
      <c r="R164" t="str">
        <f>VLOOKUP(C164,Tabelle1!B:C,2,0)</f>
        <v>HGDP00338</v>
      </c>
    </row>
    <row r="165" spans="1:18" x14ac:dyDescent="0.3">
      <c r="A165">
        <v>164</v>
      </c>
      <c r="B165" t="s">
        <v>1813</v>
      </c>
      <c r="C165" t="s">
        <v>435</v>
      </c>
      <c r="D165" t="s">
        <v>437</v>
      </c>
      <c r="E165" t="s">
        <v>1814</v>
      </c>
      <c r="F165" t="s">
        <v>112</v>
      </c>
      <c r="G165" t="s">
        <v>32</v>
      </c>
      <c r="H165" t="s">
        <v>438</v>
      </c>
      <c r="I165" t="s">
        <v>51</v>
      </c>
      <c r="J165" t="s">
        <v>176</v>
      </c>
      <c r="K165" t="s">
        <v>225</v>
      </c>
      <c r="L165" t="s">
        <v>50</v>
      </c>
      <c r="M165">
        <v>36.5</v>
      </c>
      <c r="N165">
        <v>74</v>
      </c>
      <c r="O165" t="s">
        <v>26</v>
      </c>
      <c r="P165" t="s">
        <v>1813</v>
      </c>
      <c r="Q165" t="s">
        <v>27</v>
      </c>
      <c r="R165" t="str">
        <f>VLOOKUP(C165,Tabelle1!B:C,2,0)</f>
        <v>HGDP00428</v>
      </c>
    </row>
    <row r="166" spans="1:18" x14ac:dyDescent="0.3">
      <c r="A166">
        <v>165</v>
      </c>
      <c r="B166" t="s">
        <v>1815</v>
      </c>
      <c r="C166" t="s">
        <v>871</v>
      </c>
      <c r="D166" t="s">
        <v>873</v>
      </c>
      <c r="E166" t="s">
        <v>1816</v>
      </c>
      <c r="F166" t="s">
        <v>112</v>
      </c>
      <c r="G166" t="s">
        <v>120</v>
      </c>
      <c r="H166" t="s">
        <v>874</v>
      </c>
      <c r="I166" t="s">
        <v>51</v>
      </c>
      <c r="J166" t="s">
        <v>48</v>
      </c>
      <c r="K166" t="s">
        <v>49</v>
      </c>
      <c r="L166" t="s">
        <v>50</v>
      </c>
      <c r="M166">
        <v>27</v>
      </c>
      <c r="N166">
        <v>119</v>
      </c>
      <c r="O166" t="s">
        <v>26</v>
      </c>
      <c r="P166" t="s">
        <v>1815</v>
      </c>
      <c r="Q166" t="s">
        <v>27</v>
      </c>
      <c r="R166" t="str">
        <f>VLOOKUP(C166,Tabelle1!B:C,2,0)</f>
        <v>HGDP01335</v>
      </c>
    </row>
    <row r="167" spans="1:18" x14ac:dyDescent="0.3">
      <c r="A167">
        <v>166</v>
      </c>
      <c r="B167" t="s">
        <v>1817</v>
      </c>
      <c r="C167" t="s">
        <v>113</v>
      </c>
      <c r="D167" t="s">
        <v>115</v>
      </c>
      <c r="E167" t="s">
        <v>1818</v>
      </c>
      <c r="F167" t="s">
        <v>112</v>
      </c>
      <c r="G167" t="s">
        <v>120</v>
      </c>
      <c r="H167" t="s">
        <v>116</v>
      </c>
      <c r="I167" t="s">
        <v>119</v>
      </c>
      <c r="J167" t="s">
        <v>37</v>
      </c>
      <c r="K167" t="s">
        <v>117</v>
      </c>
      <c r="L167" t="s">
        <v>118</v>
      </c>
      <c r="M167">
        <v>41.3</v>
      </c>
      <c r="N167">
        <v>19.8</v>
      </c>
      <c r="O167" t="s">
        <v>121</v>
      </c>
      <c r="P167" t="s">
        <v>1817</v>
      </c>
      <c r="Q167" t="s">
        <v>27</v>
      </c>
      <c r="R167" t="str">
        <f>VLOOKUP(C167,Tabelle1!B:C,2,0)</f>
        <v>ALB212</v>
      </c>
    </row>
    <row r="168" spans="1:18" x14ac:dyDescent="0.3">
      <c r="A168">
        <v>167</v>
      </c>
      <c r="B168" t="s">
        <v>1819</v>
      </c>
      <c r="C168" t="s">
        <v>562</v>
      </c>
      <c r="D168" t="s">
        <v>564</v>
      </c>
      <c r="E168" t="s">
        <v>1820</v>
      </c>
      <c r="F168" t="s">
        <v>112</v>
      </c>
      <c r="G168" t="s">
        <v>32</v>
      </c>
      <c r="H168" t="s">
        <v>565</v>
      </c>
      <c r="I168" t="s">
        <v>51</v>
      </c>
      <c r="J168" t="s">
        <v>48</v>
      </c>
      <c r="K168" t="s">
        <v>49</v>
      </c>
      <c r="L168" t="s">
        <v>50</v>
      </c>
      <c r="M168">
        <v>47.5</v>
      </c>
      <c r="N168">
        <v>133.5</v>
      </c>
      <c r="O168" t="s">
        <v>26</v>
      </c>
      <c r="P168" t="s">
        <v>1819</v>
      </c>
      <c r="Q168" t="s">
        <v>27</v>
      </c>
      <c r="R168" t="str">
        <f>VLOOKUP(C168,Tabelle1!B:C,2,0)</f>
        <v>HGDP01240</v>
      </c>
    </row>
    <row r="169" spans="1:18" x14ac:dyDescent="0.3">
      <c r="A169">
        <v>168</v>
      </c>
      <c r="B169" t="s">
        <v>1821</v>
      </c>
      <c r="C169" t="s">
        <v>566</v>
      </c>
      <c r="D169" t="s">
        <v>568</v>
      </c>
      <c r="E169" t="s">
        <v>1822</v>
      </c>
      <c r="F169" t="s">
        <v>112</v>
      </c>
      <c r="G169" t="s">
        <v>120</v>
      </c>
      <c r="H169" t="s">
        <v>565</v>
      </c>
      <c r="I169" t="s">
        <v>51</v>
      </c>
      <c r="J169" t="s">
        <v>48</v>
      </c>
      <c r="K169" t="s">
        <v>49</v>
      </c>
      <c r="L169" t="s">
        <v>50</v>
      </c>
      <c r="M169">
        <v>47.5</v>
      </c>
      <c r="N169">
        <v>133.5</v>
      </c>
      <c r="O169" t="s">
        <v>26</v>
      </c>
      <c r="P169" t="s">
        <v>1821</v>
      </c>
      <c r="Q169" t="s">
        <v>27</v>
      </c>
      <c r="R169" t="str">
        <f>VLOOKUP(C169,Tabelle1!B:C,2,0)</f>
        <v>HGDP01242</v>
      </c>
    </row>
    <row r="170" spans="1:18" x14ac:dyDescent="0.3">
      <c r="A170">
        <v>169</v>
      </c>
      <c r="B170" t="s">
        <v>1823</v>
      </c>
      <c r="C170" t="s">
        <v>864</v>
      </c>
      <c r="D170" t="s">
        <v>866</v>
      </c>
      <c r="E170" t="s">
        <v>1824</v>
      </c>
      <c r="F170" t="s">
        <v>112</v>
      </c>
      <c r="G170" t="s">
        <v>32</v>
      </c>
      <c r="H170" t="s">
        <v>105</v>
      </c>
      <c r="I170" t="s">
        <v>51</v>
      </c>
      <c r="J170" t="s">
        <v>37</v>
      </c>
      <c r="K170" t="s">
        <v>867</v>
      </c>
      <c r="L170" t="s">
        <v>50</v>
      </c>
      <c r="M170">
        <v>40</v>
      </c>
      <c r="N170">
        <v>9</v>
      </c>
      <c r="O170" t="s">
        <v>26</v>
      </c>
      <c r="P170" t="s">
        <v>1823</v>
      </c>
      <c r="Q170" t="s">
        <v>27</v>
      </c>
      <c r="R170" t="str">
        <f>VLOOKUP(C170,Tabelle1!B:C,2,0)</f>
        <v>HGDP01079</v>
      </c>
    </row>
    <row r="171" spans="1:18" x14ac:dyDescent="0.3">
      <c r="A171">
        <v>170</v>
      </c>
      <c r="B171" t="s">
        <v>1825</v>
      </c>
      <c r="C171" t="s">
        <v>868</v>
      </c>
      <c r="D171" t="s">
        <v>870</v>
      </c>
      <c r="E171" t="s">
        <v>1826</v>
      </c>
      <c r="F171" t="s">
        <v>112</v>
      </c>
      <c r="G171" t="s">
        <v>120</v>
      </c>
      <c r="H171" t="s">
        <v>105</v>
      </c>
      <c r="I171" t="s">
        <v>51</v>
      </c>
      <c r="J171" t="s">
        <v>37</v>
      </c>
      <c r="K171" t="s">
        <v>867</v>
      </c>
      <c r="L171" t="s">
        <v>50</v>
      </c>
      <c r="M171">
        <v>40</v>
      </c>
      <c r="N171">
        <v>9</v>
      </c>
      <c r="O171" t="s">
        <v>26</v>
      </c>
      <c r="P171" t="s">
        <v>1825</v>
      </c>
      <c r="Q171" t="s">
        <v>27</v>
      </c>
      <c r="R171" t="str">
        <f>VLOOKUP(C171,Tabelle1!B:C,2,0)</f>
        <v>HGDP01078</v>
      </c>
    </row>
    <row r="172" spans="1:18" x14ac:dyDescent="0.3">
      <c r="A172">
        <v>171</v>
      </c>
      <c r="B172" t="s">
        <v>1827</v>
      </c>
      <c r="C172" t="s">
        <v>655</v>
      </c>
      <c r="D172" t="s">
        <v>657</v>
      </c>
      <c r="E172" t="s">
        <v>1828</v>
      </c>
      <c r="F172" t="s">
        <v>112</v>
      </c>
      <c r="G172" t="s">
        <v>32</v>
      </c>
      <c r="H172" t="s">
        <v>652</v>
      </c>
      <c r="I172" t="s">
        <v>300</v>
      </c>
      <c r="J172" t="s">
        <v>48</v>
      </c>
      <c r="K172" t="s">
        <v>653</v>
      </c>
      <c r="L172" t="s">
        <v>654</v>
      </c>
      <c r="M172">
        <v>21</v>
      </c>
      <c r="N172">
        <v>105.9</v>
      </c>
      <c r="O172" t="s">
        <v>26</v>
      </c>
      <c r="P172" t="s">
        <v>1827</v>
      </c>
      <c r="Q172" t="s">
        <v>27</v>
      </c>
      <c r="R172" t="str">
        <f>VLOOKUP(C172,Tabelle1!B:C,2,0)</f>
        <v>HG01846</v>
      </c>
    </row>
    <row r="173" spans="1:18" x14ac:dyDescent="0.3">
      <c r="A173">
        <v>172</v>
      </c>
      <c r="B173" t="s">
        <v>1829</v>
      </c>
      <c r="C173" t="s">
        <v>649</v>
      </c>
      <c r="D173" t="s">
        <v>651</v>
      </c>
      <c r="E173" t="s">
        <v>1830</v>
      </c>
      <c r="F173" t="s">
        <v>112</v>
      </c>
      <c r="G173" t="s">
        <v>120</v>
      </c>
      <c r="H173" t="s">
        <v>652</v>
      </c>
      <c r="I173" t="s">
        <v>300</v>
      </c>
      <c r="J173" t="s">
        <v>48</v>
      </c>
      <c r="K173" t="s">
        <v>653</v>
      </c>
      <c r="L173" t="s">
        <v>654</v>
      </c>
      <c r="M173">
        <v>21</v>
      </c>
      <c r="N173">
        <v>105.9</v>
      </c>
      <c r="O173" t="s">
        <v>26</v>
      </c>
      <c r="P173" t="s">
        <v>1829</v>
      </c>
      <c r="Q173" t="s">
        <v>27</v>
      </c>
      <c r="R173" t="str">
        <f>VLOOKUP(C173,Tabelle1!B:C,2,0)</f>
        <v>HG01600</v>
      </c>
    </row>
    <row r="174" spans="1:18" x14ac:dyDescent="0.3">
      <c r="A174">
        <v>173</v>
      </c>
      <c r="B174" t="s">
        <v>1831</v>
      </c>
      <c r="C174" t="s">
        <v>524</v>
      </c>
      <c r="D174" t="s">
        <v>526</v>
      </c>
      <c r="E174" t="s">
        <v>1832</v>
      </c>
      <c r="F174" t="s">
        <v>112</v>
      </c>
      <c r="G174" t="s">
        <v>32</v>
      </c>
      <c r="H174" t="s">
        <v>527</v>
      </c>
      <c r="I174" t="s">
        <v>300</v>
      </c>
      <c r="J174" t="s">
        <v>56</v>
      </c>
      <c r="K174" t="s">
        <v>528</v>
      </c>
      <c r="L174" t="s">
        <v>529</v>
      </c>
      <c r="M174">
        <v>13.4</v>
      </c>
      <c r="N174">
        <v>16.7</v>
      </c>
      <c r="O174" t="s">
        <v>26</v>
      </c>
      <c r="P174" t="s">
        <v>1831</v>
      </c>
      <c r="Q174" t="s">
        <v>27</v>
      </c>
      <c r="R174" t="str">
        <f>VLOOKUP(C174,Tabelle1!B:C,2,0)</f>
        <v>HG02464</v>
      </c>
    </row>
    <row r="175" spans="1:18" x14ac:dyDescent="0.3">
      <c r="A175">
        <v>174</v>
      </c>
      <c r="B175" t="s">
        <v>1833</v>
      </c>
      <c r="C175" t="s">
        <v>530</v>
      </c>
      <c r="D175" t="s">
        <v>532</v>
      </c>
      <c r="E175" t="s">
        <v>1834</v>
      </c>
      <c r="F175" t="s">
        <v>112</v>
      </c>
      <c r="G175" t="s">
        <v>120</v>
      </c>
      <c r="H175" t="s">
        <v>527</v>
      </c>
      <c r="I175" t="s">
        <v>300</v>
      </c>
      <c r="J175" t="s">
        <v>56</v>
      </c>
      <c r="K175" t="s">
        <v>528</v>
      </c>
      <c r="L175" t="s">
        <v>529</v>
      </c>
      <c r="M175">
        <v>13.4</v>
      </c>
      <c r="N175">
        <v>16.7</v>
      </c>
      <c r="O175" t="s">
        <v>26</v>
      </c>
      <c r="P175" t="s">
        <v>1833</v>
      </c>
      <c r="Q175" t="s">
        <v>27</v>
      </c>
      <c r="R175" t="str">
        <f>VLOOKUP(C175,Tabelle1!B:C,2,0)</f>
        <v>HG02574</v>
      </c>
    </row>
    <row r="176" spans="1:18" x14ac:dyDescent="0.3">
      <c r="A176">
        <v>175</v>
      </c>
      <c r="B176" t="s">
        <v>1835</v>
      </c>
      <c r="C176" t="s">
        <v>52</v>
      </c>
      <c r="D176" t="s">
        <v>54</v>
      </c>
      <c r="E176" t="s">
        <v>1836</v>
      </c>
      <c r="F176" t="s">
        <v>16</v>
      </c>
      <c r="G176" t="s">
        <v>32</v>
      </c>
      <c r="H176" t="s">
        <v>55</v>
      </c>
      <c r="I176" t="s">
        <v>59</v>
      </c>
      <c r="J176" t="s">
        <v>56</v>
      </c>
      <c r="K176" t="s">
        <v>57</v>
      </c>
      <c r="L176" t="s">
        <v>58</v>
      </c>
      <c r="M176">
        <v>8.7833333329999999</v>
      </c>
      <c r="N176">
        <v>27.4</v>
      </c>
      <c r="O176" t="s">
        <v>60</v>
      </c>
      <c r="P176" t="s">
        <v>1835</v>
      </c>
      <c r="Q176" t="s">
        <v>27</v>
      </c>
      <c r="R176" t="str">
        <f>VLOOKUP(C176,Tabelle1!B:C,2,0)</f>
        <v>DNK07</v>
      </c>
    </row>
    <row r="177" spans="1:18" x14ac:dyDescent="0.3">
      <c r="A177">
        <v>176</v>
      </c>
      <c r="B177" t="s">
        <v>1837</v>
      </c>
      <c r="C177" t="s">
        <v>61</v>
      </c>
      <c r="D177" t="s">
        <v>63</v>
      </c>
      <c r="E177" t="s">
        <v>1838</v>
      </c>
      <c r="F177" t="s">
        <v>16</v>
      </c>
      <c r="G177" t="s">
        <v>32</v>
      </c>
      <c r="H177" t="s">
        <v>64</v>
      </c>
      <c r="I177" t="s">
        <v>51</v>
      </c>
      <c r="J177" t="s">
        <v>37</v>
      </c>
      <c r="K177" t="s">
        <v>65</v>
      </c>
      <c r="L177" t="s">
        <v>50</v>
      </c>
      <c r="M177">
        <v>46</v>
      </c>
      <c r="N177">
        <v>2</v>
      </c>
      <c r="O177" t="s">
        <v>26</v>
      </c>
      <c r="P177" t="s">
        <v>1837</v>
      </c>
      <c r="Q177" t="s">
        <v>27</v>
      </c>
      <c r="R177" t="str">
        <f>VLOOKUP(C177,Tabelle1!B:C,2,0)</f>
        <v>HGDP00533</v>
      </c>
    </row>
    <row r="178" spans="1:18" x14ac:dyDescent="0.3">
      <c r="A178">
        <v>177</v>
      </c>
      <c r="B178" t="s">
        <v>1839</v>
      </c>
      <c r="C178" t="s">
        <v>320</v>
      </c>
      <c r="D178" t="s">
        <v>322</v>
      </c>
      <c r="E178" t="s">
        <v>1840</v>
      </c>
      <c r="F178" t="s">
        <v>112</v>
      </c>
      <c r="G178" t="s">
        <v>120</v>
      </c>
      <c r="H178" t="s">
        <v>317</v>
      </c>
      <c r="I178" t="s">
        <v>51</v>
      </c>
      <c r="J178" t="s">
        <v>37</v>
      </c>
      <c r="K178" t="s">
        <v>318</v>
      </c>
      <c r="L178" t="s">
        <v>319</v>
      </c>
      <c r="M178">
        <v>44</v>
      </c>
      <c r="N178">
        <v>39</v>
      </c>
      <c r="O178" t="s">
        <v>26</v>
      </c>
      <c r="P178" t="s">
        <v>1839</v>
      </c>
      <c r="Q178" t="s">
        <v>27</v>
      </c>
      <c r="R178" t="str">
        <f>VLOOKUP(C178,Tabelle1!B:C,2,0)</f>
        <v>HGDP01401</v>
      </c>
    </row>
    <row r="179" spans="1:18" x14ac:dyDescent="0.3">
      <c r="A179">
        <v>178</v>
      </c>
      <c r="B179" t="s">
        <v>1841</v>
      </c>
      <c r="C179" t="s">
        <v>314</v>
      </c>
      <c r="D179" t="s">
        <v>316</v>
      </c>
      <c r="E179" t="s">
        <v>1842</v>
      </c>
      <c r="F179" t="s">
        <v>112</v>
      </c>
      <c r="G179" t="s">
        <v>32</v>
      </c>
      <c r="H179" t="s">
        <v>317</v>
      </c>
      <c r="I179" t="s">
        <v>51</v>
      </c>
      <c r="J179" t="s">
        <v>37</v>
      </c>
      <c r="K179" t="s">
        <v>318</v>
      </c>
      <c r="L179" t="s">
        <v>319</v>
      </c>
      <c r="M179">
        <v>44</v>
      </c>
      <c r="N179">
        <v>39</v>
      </c>
      <c r="O179" t="s">
        <v>26</v>
      </c>
      <c r="P179" t="s">
        <v>1841</v>
      </c>
      <c r="Q179" t="s">
        <v>27</v>
      </c>
      <c r="R179" t="str">
        <f>VLOOKUP(C179,Tabelle1!B:C,2,0)</f>
        <v>HGDP01402</v>
      </c>
    </row>
    <row r="180" spans="1:18" x14ac:dyDescent="0.3">
      <c r="A180">
        <v>179</v>
      </c>
      <c r="B180" t="s">
        <v>1843</v>
      </c>
      <c r="C180" t="s">
        <v>861</v>
      </c>
      <c r="D180" t="s">
        <v>863</v>
      </c>
      <c r="E180" t="s">
        <v>1844</v>
      </c>
      <c r="F180" t="s">
        <v>112</v>
      </c>
      <c r="G180" t="s">
        <v>32</v>
      </c>
      <c r="H180" t="s">
        <v>858</v>
      </c>
      <c r="I180" t="s">
        <v>119</v>
      </c>
      <c r="J180" t="s">
        <v>56</v>
      </c>
      <c r="K180" t="s">
        <v>859</v>
      </c>
      <c r="L180" t="s">
        <v>860</v>
      </c>
      <c r="M180">
        <v>27.3</v>
      </c>
      <c r="N180">
        <v>-8.9</v>
      </c>
      <c r="O180" t="s">
        <v>121</v>
      </c>
      <c r="P180" t="s">
        <v>1843</v>
      </c>
      <c r="Q180" t="s">
        <v>27</v>
      </c>
      <c r="R180" t="str">
        <f>VLOOKUP(C180,Tabelle1!B:C,2,0)</f>
        <v>SAH41</v>
      </c>
    </row>
    <row r="181" spans="1:18" x14ac:dyDescent="0.3">
      <c r="A181">
        <v>180</v>
      </c>
      <c r="B181" t="s">
        <v>1845</v>
      </c>
      <c r="C181" t="s">
        <v>855</v>
      </c>
      <c r="D181" t="s">
        <v>857</v>
      </c>
      <c r="E181" t="s">
        <v>1846</v>
      </c>
      <c r="F181" t="s">
        <v>112</v>
      </c>
      <c r="G181" t="s">
        <v>32</v>
      </c>
      <c r="H181" t="s">
        <v>858</v>
      </c>
      <c r="I181" t="s">
        <v>119</v>
      </c>
      <c r="J181" t="s">
        <v>56</v>
      </c>
      <c r="K181" t="s">
        <v>859</v>
      </c>
      <c r="L181" t="s">
        <v>860</v>
      </c>
      <c r="M181">
        <v>27.3</v>
      </c>
      <c r="N181">
        <v>-8.9</v>
      </c>
      <c r="O181" t="s">
        <v>121</v>
      </c>
      <c r="P181" t="s">
        <v>1845</v>
      </c>
      <c r="Q181" t="s">
        <v>27</v>
      </c>
      <c r="R181" t="str">
        <f>VLOOKUP(C181,Tabelle1!B:C,2,0)</f>
        <v>SAH31</v>
      </c>
    </row>
    <row r="182" spans="1:18" x14ac:dyDescent="0.3">
      <c r="A182">
        <v>181</v>
      </c>
      <c r="B182" t="s">
        <v>1847</v>
      </c>
      <c r="C182" t="s">
        <v>141</v>
      </c>
      <c r="D182" t="s">
        <v>143</v>
      </c>
      <c r="E182" t="s">
        <v>1848</v>
      </c>
      <c r="F182" t="s">
        <v>112</v>
      </c>
      <c r="G182" t="s">
        <v>32</v>
      </c>
      <c r="H182" t="s">
        <v>144</v>
      </c>
      <c r="I182" t="s">
        <v>146</v>
      </c>
      <c r="J182" t="s">
        <v>37</v>
      </c>
      <c r="K182" t="s">
        <v>127</v>
      </c>
      <c r="L182" t="s">
        <v>145</v>
      </c>
      <c r="M182">
        <v>43.332999999999998</v>
      </c>
      <c r="N182">
        <v>45.65</v>
      </c>
      <c r="O182" t="s">
        <v>121</v>
      </c>
      <c r="P182" t="s">
        <v>1847</v>
      </c>
      <c r="Q182" t="s">
        <v>27</v>
      </c>
      <c r="R182" t="str">
        <f>VLOOKUP(C182,Tabelle1!B:C,2,0)</f>
        <v>ch113</v>
      </c>
    </row>
    <row r="183" spans="1:18" x14ac:dyDescent="0.3">
      <c r="A183">
        <v>182</v>
      </c>
      <c r="B183" t="s">
        <v>1849</v>
      </c>
      <c r="C183" t="s">
        <v>916</v>
      </c>
      <c r="D183" t="s">
        <v>918</v>
      </c>
      <c r="E183" t="s">
        <v>1850</v>
      </c>
      <c r="F183" t="s">
        <v>112</v>
      </c>
      <c r="G183" t="s">
        <v>120</v>
      </c>
      <c r="H183" t="s">
        <v>914</v>
      </c>
      <c r="I183" t="s">
        <v>24</v>
      </c>
      <c r="J183" t="s">
        <v>48</v>
      </c>
      <c r="K183" t="s">
        <v>915</v>
      </c>
      <c r="L183" t="s">
        <v>23</v>
      </c>
      <c r="M183">
        <v>13.8</v>
      </c>
      <c r="N183">
        <v>100.5</v>
      </c>
      <c r="O183" t="s">
        <v>26</v>
      </c>
      <c r="P183" t="s">
        <v>1849</v>
      </c>
      <c r="Q183" t="s">
        <v>27</v>
      </c>
      <c r="R183" t="str">
        <f>VLOOKUP(C183,Tabelle1!B:C,2,0)</f>
        <v>CHI-034</v>
      </c>
    </row>
    <row r="184" spans="1:18" x14ac:dyDescent="0.3">
      <c r="A184">
        <v>183</v>
      </c>
      <c r="B184" t="s">
        <v>1851</v>
      </c>
      <c r="C184" t="s">
        <v>911</v>
      </c>
      <c r="D184" t="s">
        <v>913</v>
      </c>
      <c r="E184" t="s">
        <v>1852</v>
      </c>
      <c r="F184" t="s">
        <v>112</v>
      </c>
      <c r="G184" t="s">
        <v>32</v>
      </c>
      <c r="H184" t="s">
        <v>914</v>
      </c>
      <c r="I184" t="s">
        <v>24</v>
      </c>
      <c r="J184" t="s">
        <v>48</v>
      </c>
      <c r="K184" t="s">
        <v>915</v>
      </c>
      <c r="L184" t="s">
        <v>23</v>
      </c>
      <c r="M184">
        <v>13.8</v>
      </c>
      <c r="N184">
        <v>100.5</v>
      </c>
      <c r="O184" t="s">
        <v>26</v>
      </c>
      <c r="P184" t="s">
        <v>1851</v>
      </c>
      <c r="Q184" t="s">
        <v>27</v>
      </c>
      <c r="R184" t="str">
        <f>VLOOKUP(C184,Tabelle1!B:C,2,0)</f>
        <v>CHI-007</v>
      </c>
    </row>
    <row r="185" spans="1:18" x14ac:dyDescent="0.3">
      <c r="A185">
        <v>184</v>
      </c>
      <c r="B185" t="s">
        <v>1853</v>
      </c>
      <c r="C185" t="s">
        <v>70</v>
      </c>
      <c r="D185" t="s">
        <v>72</v>
      </c>
      <c r="E185" t="s">
        <v>1854</v>
      </c>
      <c r="F185" t="s">
        <v>16</v>
      </c>
      <c r="G185" t="s">
        <v>32</v>
      </c>
      <c r="H185" t="s">
        <v>73</v>
      </c>
      <c r="I185" t="s">
        <v>51</v>
      </c>
      <c r="J185" t="s">
        <v>56</v>
      </c>
      <c r="K185" t="s">
        <v>74</v>
      </c>
      <c r="L185" t="s">
        <v>50</v>
      </c>
      <c r="M185">
        <v>-18.93725689</v>
      </c>
      <c r="N185">
        <v>21.452447639999999</v>
      </c>
      <c r="O185" t="s">
        <v>26</v>
      </c>
      <c r="P185" t="s">
        <v>1853</v>
      </c>
      <c r="Q185" t="s">
        <v>27</v>
      </c>
      <c r="R185" t="str">
        <f>VLOOKUP(C185,Tabelle1!B:C,2,0)</f>
        <v>HGDP01036</v>
      </c>
    </row>
    <row r="186" spans="1:18" x14ac:dyDescent="0.3">
      <c r="A186">
        <v>185</v>
      </c>
      <c r="B186" t="s">
        <v>1855</v>
      </c>
      <c r="C186" t="s">
        <v>221</v>
      </c>
      <c r="D186" t="s">
        <v>223</v>
      </c>
      <c r="E186" t="s">
        <v>1856</v>
      </c>
      <c r="F186" t="s">
        <v>112</v>
      </c>
      <c r="G186" t="s">
        <v>32</v>
      </c>
      <c r="H186" t="s">
        <v>224</v>
      </c>
      <c r="I186" t="s">
        <v>51</v>
      </c>
      <c r="J186" t="s">
        <v>176</v>
      </c>
      <c r="K186" t="s">
        <v>225</v>
      </c>
      <c r="L186" t="s">
        <v>50</v>
      </c>
      <c r="M186">
        <v>30.5</v>
      </c>
      <c r="N186">
        <v>66.5</v>
      </c>
      <c r="O186" t="s">
        <v>26</v>
      </c>
      <c r="P186" t="s">
        <v>1855</v>
      </c>
      <c r="Q186" t="s">
        <v>27</v>
      </c>
      <c r="R186" t="str">
        <f>VLOOKUP(C186,Tabelle1!B:C,2,0)</f>
        <v>HGDP00090</v>
      </c>
    </row>
    <row r="187" spans="1:18" x14ac:dyDescent="0.3">
      <c r="A187">
        <v>186</v>
      </c>
      <c r="B187" t="s">
        <v>1857</v>
      </c>
      <c r="C187" t="s">
        <v>226</v>
      </c>
      <c r="D187" t="s">
        <v>228</v>
      </c>
      <c r="E187" t="s">
        <v>1858</v>
      </c>
      <c r="F187" t="s">
        <v>112</v>
      </c>
      <c r="G187" t="s">
        <v>32</v>
      </c>
      <c r="H187" t="s">
        <v>224</v>
      </c>
      <c r="I187" t="s">
        <v>51</v>
      </c>
      <c r="J187" t="s">
        <v>176</v>
      </c>
      <c r="K187" t="s">
        <v>225</v>
      </c>
      <c r="L187" t="s">
        <v>50</v>
      </c>
      <c r="M187">
        <v>30.498714920000001</v>
      </c>
      <c r="N187">
        <v>66.5</v>
      </c>
      <c r="O187" t="s">
        <v>26</v>
      </c>
      <c r="P187" t="s">
        <v>1857</v>
      </c>
      <c r="Q187" t="s">
        <v>27</v>
      </c>
      <c r="R187" t="str">
        <f>VLOOKUP(C187,Tabelle1!B:C,2,0)</f>
        <v>HGDP00058</v>
      </c>
    </row>
    <row r="188" spans="1:18" x14ac:dyDescent="0.3">
      <c r="A188">
        <v>187</v>
      </c>
      <c r="B188" t="s">
        <v>1859</v>
      </c>
      <c r="C188" t="s">
        <v>666</v>
      </c>
      <c r="D188" t="s">
        <v>669</v>
      </c>
      <c r="E188" t="s">
        <v>1860</v>
      </c>
      <c r="F188" t="s">
        <v>112</v>
      </c>
      <c r="G188" t="s">
        <v>32</v>
      </c>
      <c r="H188" t="s">
        <v>670</v>
      </c>
      <c r="I188" t="s">
        <v>1861</v>
      </c>
      <c r="J188" t="s">
        <v>176</v>
      </c>
      <c r="K188" t="s">
        <v>671</v>
      </c>
      <c r="L188" t="s">
        <v>1862</v>
      </c>
      <c r="M188">
        <v>28.072452869999999</v>
      </c>
      <c r="N188">
        <v>82.487780000000001</v>
      </c>
      <c r="O188" t="s">
        <v>60</v>
      </c>
      <c r="P188" t="s">
        <v>1859</v>
      </c>
      <c r="Q188" t="s">
        <v>27</v>
      </c>
      <c r="R188" t="str">
        <f>VLOOKUP(C188,Tabelle1!B:C,2,0)</f>
        <v>Kusunda02</v>
      </c>
    </row>
    <row r="189" spans="1:18" x14ac:dyDescent="0.3">
      <c r="A189">
        <v>188</v>
      </c>
      <c r="B189" t="s">
        <v>1863</v>
      </c>
      <c r="C189" t="s">
        <v>275</v>
      </c>
      <c r="D189" t="s">
        <v>277</v>
      </c>
      <c r="E189" t="s">
        <v>1864</v>
      </c>
      <c r="F189" t="s">
        <v>112</v>
      </c>
      <c r="G189" t="s">
        <v>32</v>
      </c>
      <c r="H189" t="s">
        <v>278</v>
      </c>
      <c r="I189" t="s">
        <v>51</v>
      </c>
      <c r="J189" t="s">
        <v>48</v>
      </c>
      <c r="K189" t="s">
        <v>279</v>
      </c>
      <c r="L189" t="s">
        <v>50</v>
      </c>
      <c r="M189">
        <v>37.85</v>
      </c>
      <c r="N189">
        <v>139</v>
      </c>
      <c r="O189" t="s">
        <v>26</v>
      </c>
      <c r="P189" t="s">
        <v>1863</v>
      </c>
      <c r="Q189" t="s">
        <v>27</v>
      </c>
      <c r="R189" t="str">
        <f>VLOOKUP(C189,Tabelle1!B:C,2,0)</f>
        <v>HGDP00749</v>
      </c>
    </row>
    <row r="190" spans="1:18" x14ac:dyDescent="0.3">
      <c r="A190">
        <v>189</v>
      </c>
      <c r="B190" t="s">
        <v>1865</v>
      </c>
      <c r="C190" t="s">
        <v>1063</v>
      </c>
      <c r="D190" t="s">
        <v>1065</v>
      </c>
      <c r="E190" t="s">
        <v>1866</v>
      </c>
      <c r="F190" t="s">
        <v>112</v>
      </c>
      <c r="G190" t="s">
        <v>120</v>
      </c>
      <c r="H190" t="s">
        <v>278</v>
      </c>
      <c r="I190" t="s">
        <v>51</v>
      </c>
      <c r="J190" t="s">
        <v>48</v>
      </c>
      <c r="K190" t="s">
        <v>279</v>
      </c>
      <c r="L190" t="s">
        <v>50</v>
      </c>
      <c r="M190">
        <v>37.85</v>
      </c>
      <c r="N190">
        <v>139</v>
      </c>
      <c r="O190" t="s">
        <v>26</v>
      </c>
      <c r="P190" t="s">
        <v>1865</v>
      </c>
      <c r="Q190" t="s">
        <v>27</v>
      </c>
      <c r="R190" t="str">
        <f>VLOOKUP(C190,Tabelle1!B:C,2,0)</f>
        <v>HGDP00773</v>
      </c>
    </row>
    <row r="191" spans="1:18" x14ac:dyDescent="0.3">
      <c r="A191">
        <v>190</v>
      </c>
      <c r="B191" t="s">
        <v>1867</v>
      </c>
      <c r="C191" t="s">
        <v>1066</v>
      </c>
      <c r="D191" t="s">
        <v>1068</v>
      </c>
      <c r="E191" t="s">
        <v>1868</v>
      </c>
      <c r="F191" t="s">
        <v>112</v>
      </c>
      <c r="G191" t="s">
        <v>32</v>
      </c>
      <c r="H191" t="s">
        <v>278</v>
      </c>
      <c r="I191" t="s">
        <v>134</v>
      </c>
      <c r="J191" t="s">
        <v>48</v>
      </c>
      <c r="K191" t="s">
        <v>279</v>
      </c>
      <c r="L191" t="s">
        <v>1069</v>
      </c>
      <c r="M191">
        <v>37.85</v>
      </c>
      <c r="N191">
        <v>139</v>
      </c>
      <c r="O191" t="s">
        <v>26</v>
      </c>
      <c r="P191" t="s">
        <v>1867</v>
      </c>
      <c r="Q191" t="s">
        <v>27</v>
      </c>
      <c r="R191" t="str">
        <f>VLOOKUP(C191,Tabelle1!B:C,2,0)</f>
        <v>NA18940</v>
      </c>
    </row>
    <row r="192" spans="1:18" x14ac:dyDescent="0.3">
      <c r="A192">
        <v>191</v>
      </c>
      <c r="B192" t="s">
        <v>1869</v>
      </c>
      <c r="C192" t="s">
        <v>411</v>
      </c>
      <c r="D192" t="s">
        <v>413</v>
      </c>
      <c r="E192" t="s">
        <v>1870</v>
      </c>
      <c r="F192" t="s">
        <v>112</v>
      </c>
      <c r="G192" t="s">
        <v>32</v>
      </c>
      <c r="H192" t="s">
        <v>410</v>
      </c>
      <c r="I192" t="s">
        <v>51</v>
      </c>
      <c r="J192" t="s">
        <v>176</v>
      </c>
      <c r="K192" t="s">
        <v>225</v>
      </c>
      <c r="L192" t="s">
        <v>50</v>
      </c>
      <c r="M192">
        <v>30.5</v>
      </c>
      <c r="N192">
        <v>66.5</v>
      </c>
      <c r="O192" t="s">
        <v>26</v>
      </c>
      <c r="P192" t="s">
        <v>1869</v>
      </c>
      <c r="Q192" t="s">
        <v>27</v>
      </c>
      <c r="R192" t="str">
        <f>VLOOKUP(C192,Tabelle1!B:C,2,0)</f>
        <v>HGDP00019</v>
      </c>
    </row>
    <row r="193" spans="1:18" x14ac:dyDescent="0.3">
      <c r="A193">
        <v>192</v>
      </c>
      <c r="B193" t="s">
        <v>1871</v>
      </c>
      <c r="C193" t="s">
        <v>407</v>
      </c>
      <c r="D193" t="s">
        <v>409</v>
      </c>
      <c r="E193" t="s">
        <v>1872</v>
      </c>
      <c r="F193" t="s">
        <v>112</v>
      </c>
      <c r="G193" t="s">
        <v>32</v>
      </c>
      <c r="H193" t="s">
        <v>410</v>
      </c>
      <c r="I193" t="s">
        <v>51</v>
      </c>
      <c r="J193" t="s">
        <v>176</v>
      </c>
      <c r="K193" t="s">
        <v>225</v>
      </c>
      <c r="L193" t="s">
        <v>50</v>
      </c>
      <c r="M193">
        <v>30.5</v>
      </c>
      <c r="N193">
        <v>66.5</v>
      </c>
      <c r="O193" t="s">
        <v>26</v>
      </c>
      <c r="P193" t="s">
        <v>1871</v>
      </c>
      <c r="Q193" t="s">
        <v>27</v>
      </c>
      <c r="R193" t="str">
        <f>VLOOKUP(C193,Tabelle1!B:C,2,0)</f>
        <v>HGDP00027</v>
      </c>
    </row>
    <row r="194" spans="1:18" x14ac:dyDescent="0.3">
      <c r="A194">
        <v>193</v>
      </c>
      <c r="B194" t="s">
        <v>1873</v>
      </c>
      <c r="C194" t="s">
        <v>585</v>
      </c>
      <c r="D194" t="s">
        <v>587</v>
      </c>
      <c r="E194" t="s">
        <v>1874</v>
      </c>
      <c r="F194" t="s">
        <v>112</v>
      </c>
      <c r="G194" t="s">
        <v>120</v>
      </c>
      <c r="H194" t="s">
        <v>588</v>
      </c>
      <c r="I194" t="s">
        <v>430</v>
      </c>
      <c r="J194" t="s">
        <v>21</v>
      </c>
      <c r="K194" t="s">
        <v>589</v>
      </c>
      <c r="L194" t="s">
        <v>1875</v>
      </c>
      <c r="M194">
        <v>17.100000000000001</v>
      </c>
      <c r="N194">
        <v>121</v>
      </c>
      <c r="O194" t="s">
        <v>60</v>
      </c>
      <c r="P194" t="s">
        <v>1873</v>
      </c>
      <c r="Q194" t="s">
        <v>27</v>
      </c>
      <c r="R194" t="str">
        <f>VLOOKUP(C194,Tabelle1!B:C,2,0)</f>
        <v>Igor20</v>
      </c>
    </row>
    <row r="195" spans="1:18" x14ac:dyDescent="0.3">
      <c r="A195">
        <v>194</v>
      </c>
      <c r="B195" t="s">
        <v>1876</v>
      </c>
      <c r="C195" t="s">
        <v>591</v>
      </c>
      <c r="D195" t="s">
        <v>593</v>
      </c>
      <c r="E195" t="s">
        <v>1877</v>
      </c>
      <c r="F195" t="s">
        <v>112</v>
      </c>
      <c r="G195" t="s">
        <v>32</v>
      </c>
      <c r="H195" t="s">
        <v>588</v>
      </c>
      <c r="I195" t="s">
        <v>430</v>
      </c>
      <c r="J195" t="s">
        <v>21</v>
      </c>
      <c r="K195" t="s">
        <v>589</v>
      </c>
      <c r="L195" t="s">
        <v>1875</v>
      </c>
      <c r="M195">
        <v>17.100000000000001</v>
      </c>
      <c r="N195">
        <v>121</v>
      </c>
      <c r="O195" t="s">
        <v>60</v>
      </c>
      <c r="P195" t="s">
        <v>1876</v>
      </c>
      <c r="Q195" t="s">
        <v>27</v>
      </c>
      <c r="R195" t="str">
        <f>VLOOKUP(C195,Tabelle1!B:C,2,0)</f>
        <v>Igor21</v>
      </c>
    </row>
    <row r="196" spans="1:18" x14ac:dyDescent="0.3">
      <c r="A196">
        <v>195</v>
      </c>
      <c r="B196" t="s">
        <v>1878</v>
      </c>
      <c r="C196" t="s">
        <v>404</v>
      </c>
      <c r="D196" t="s">
        <v>406</v>
      </c>
      <c r="E196" t="s">
        <v>1879</v>
      </c>
      <c r="F196" t="s">
        <v>112</v>
      </c>
      <c r="G196" t="s">
        <v>32</v>
      </c>
      <c r="H196" t="s">
        <v>402</v>
      </c>
      <c r="I196" t="s">
        <v>178</v>
      </c>
      <c r="J196" t="s">
        <v>176</v>
      </c>
      <c r="K196" t="s">
        <v>177</v>
      </c>
      <c r="L196" t="s">
        <v>403</v>
      </c>
      <c r="M196">
        <v>17.7</v>
      </c>
      <c r="N196">
        <v>83.3</v>
      </c>
      <c r="O196" t="s">
        <v>121</v>
      </c>
      <c r="P196" t="s">
        <v>1878</v>
      </c>
      <c r="Q196" t="s">
        <v>27</v>
      </c>
      <c r="R196" t="str">
        <f>VLOOKUP(C196,Tabelle1!B:C,2,0)</f>
        <v>B17</v>
      </c>
    </row>
    <row r="197" spans="1:18" x14ac:dyDescent="0.3">
      <c r="A197">
        <v>196</v>
      </c>
      <c r="B197" t="s">
        <v>1880</v>
      </c>
      <c r="C197" t="s">
        <v>399</v>
      </c>
      <c r="D197" t="s">
        <v>401</v>
      </c>
      <c r="E197" t="s">
        <v>1881</v>
      </c>
      <c r="F197" t="s">
        <v>112</v>
      </c>
      <c r="G197" t="s">
        <v>32</v>
      </c>
      <c r="H197" t="s">
        <v>402</v>
      </c>
      <c r="I197" t="s">
        <v>178</v>
      </c>
      <c r="J197" t="s">
        <v>176</v>
      </c>
      <c r="K197" t="s">
        <v>177</v>
      </c>
      <c r="L197" t="s">
        <v>403</v>
      </c>
      <c r="M197">
        <v>17.7</v>
      </c>
      <c r="N197">
        <v>83.3</v>
      </c>
      <c r="O197" t="s">
        <v>121</v>
      </c>
      <c r="P197" t="s">
        <v>1880</v>
      </c>
      <c r="Q197" t="s">
        <v>27</v>
      </c>
      <c r="R197" t="str">
        <f>VLOOKUP(C197,Tabelle1!B:C,2,0)</f>
        <v>B11</v>
      </c>
    </row>
    <row r="198" spans="1:18" x14ac:dyDescent="0.3">
      <c r="A198">
        <v>197</v>
      </c>
      <c r="B198" t="s">
        <v>1882</v>
      </c>
      <c r="C198" t="s">
        <v>759</v>
      </c>
      <c r="D198" t="s">
        <v>761</v>
      </c>
      <c r="E198" t="s">
        <v>1883</v>
      </c>
      <c r="F198" t="s">
        <v>112</v>
      </c>
      <c r="G198" t="s">
        <v>120</v>
      </c>
      <c r="H198" t="s">
        <v>758</v>
      </c>
      <c r="I198" t="s">
        <v>51</v>
      </c>
      <c r="J198" t="s">
        <v>79</v>
      </c>
      <c r="K198" t="s">
        <v>95</v>
      </c>
      <c r="L198" t="s">
        <v>50</v>
      </c>
      <c r="M198">
        <v>19</v>
      </c>
      <c r="N198">
        <v>-91</v>
      </c>
      <c r="O198" t="s">
        <v>26</v>
      </c>
      <c r="P198" t="s">
        <v>1882</v>
      </c>
      <c r="Q198" t="s">
        <v>27</v>
      </c>
      <c r="R198" t="str">
        <f>VLOOKUP(C198,Tabelle1!B:C,2,0)</f>
        <v>HGDP00857</v>
      </c>
    </row>
    <row r="199" spans="1:18" x14ac:dyDescent="0.3">
      <c r="A199">
        <v>198</v>
      </c>
      <c r="B199" t="s">
        <v>1884</v>
      </c>
      <c r="C199" t="s">
        <v>755</v>
      </c>
      <c r="D199" t="s">
        <v>757</v>
      </c>
      <c r="E199" t="s">
        <v>1885</v>
      </c>
      <c r="F199" t="s">
        <v>112</v>
      </c>
      <c r="G199" t="s">
        <v>120</v>
      </c>
      <c r="H199" t="s">
        <v>758</v>
      </c>
      <c r="I199" t="s">
        <v>51</v>
      </c>
      <c r="J199" t="s">
        <v>79</v>
      </c>
      <c r="K199" t="s">
        <v>95</v>
      </c>
      <c r="L199" t="s">
        <v>50</v>
      </c>
      <c r="M199">
        <v>19</v>
      </c>
      <c r="N199">
        <v>-91</v>
      </c>
      <c r="O199" t="s">
        <v>26</v>
      </c>
      <c r="P199" t="s">
        <v>1884</v>
      </c>
      <c r="Q199" t="s">
        <v>27</v>
      </c>
      <c r="R199" t="str">
        <f>VLOOKUP(C199,Tabelle1!B:C,2,0)</f>
        <v>HGDP00855</v>
      </c>
    </row>
    <row r="200" spans="1:18" x14ac:dyDescent="0.3">
      <c r="A200">
        <v>199</v>
      </c>
      <c r="B200" t="s">
        <v>1886</v>
      </c>
      <c r="C200" t="s">
        <v>97</v>
      </c>
      <c r="D200" t="s">
        <v>99</v>
      </c>
      <c r="E200" t="s">
        <v>1887</v>
      </c>
      <c r="F200" t="s">
        <v>16</v>
      </c>
      <c r="G200" t="s">
        <v>32</v>
      </c>
      <c r="H200" t="s">
        <v>100</v>
      </c>
      <c r="I200" t="s">
        <v>51</v>
      </c>
      <c r="J200" t="s">
        <v>21</v>
      </c>
      <c r="K200" t="s">
        <v>101</v>
      </c>
      <c r="L200" t="s">
        <v>50</v>
      </c>
      <c r="M200">
        <v>-4</v>
      </c>
      <c r="N200">
        <v>143</v>
      </c>
      <c r="O200" t="s">
        <v>26</v>
      </c>
      <c r="P200" t="s">
        <v>1886</v>
      </c>
      <c r="Q200" t="s">
        <v>27</v>
      </c>
      <c r="R200" t="str">
        <f>VLOOKUP(C200,Tabelle1!B:C,2,0)</f>
        <v>HGDP00546</v>
      </c>
    </row>
    <row r="201" spans="1:18" x14ac:dyDescent="0.3">
      <c r="A201">
        <v>200</v>
      </c>
      <c r="B201" t="s">
        <v>1888</v>
      </c>
      <c r="C201" t="s">
        <v>673</v>
      </c>
      <c r="D201" t="s">
        <v>676</v>
      </c>
      <c r="E201" t="s">
        <v>1889</v>
      </c>
      <c r="F201" t="s">
        <v>112</v>
      </c>
      <c r="G201" t="s">
        <v>32</v>
      </c>
      <c r="H201" t="s">
        <v>670</v>
      </c>
      <c r="I201" t="s">
        <v>1861</v>
      </c>
      <c r="J201" t="s">
        <v>176</v>
      </c>
      <c r="K201" t="s">
        <v>671</v>
      </c>
      <c r="L201" t="s">
        <v>1890</v>
      </c>
      <c r="M201">
        <v>28.072452869999999</v>
      </c>
      <c r="N201">
        <v>84.259485999999995</v>
      </c>
      <c r="O201" t="s">
        <v>60</v>
      </c>
      <c r="P201" t="s">
        <v>1888</v>
      </c>
      <c r="Q201" t="s">
        <v>27</v>
      </c>
      <c r="R201" t="str">
        <f>VLOOKUP(C201,Tabelle1!B:C,2,0)</f>
        <v>Kusunda15</v>
      </c>
    </row>
    <row r="202" spans="1:18" x14ac:dyDescent="0.3">
      <c r="A202">
        <v>201</v>
      </c>
      <c r="B202" t="s">
        <v>1891</v>
      </c>
      <c r="C202" t="s">
        <v>609</v>
      </c>
      <c r="D202" t="s">
        <v>611</v>
      </c>
      <c r="E202" t="s">
        <v>1892</v>
      </c>
      <c r="F202" t="s">
        <v>112</v>
      </c>
      <c r="G202" t="s">
        <v>32</v>
      </c>
      <c r="H202" t="s">
        <v>605</v>
      </c>
      <c r="I202" t="s">
        <v>608</v>
      </c>
      <c r="J202" t="s">
        <v>37</v>
      </c>
      <c r="K202" t="s">
        <v>606</v>
      </c>
      <c r="L202" t="s">
        <v>607</v>
      </c>
      <c r="M202">
        <v>33.299999999999997</v>
      </c>
      <c r="N202">
        <v>44.4</v>
      </c>
      <c r="O202" t="s">
        <v>26</v>
      </c>
      <c r="P202" t="s">
        <v>1891</v>
      </c>
      <c r="Q202" t="s">
        <v>27</v>
      </c>
      <c r="R202" t="str">
        <f>VLOOKUP(C202,Tabelle1!B:C,2,0)</f>
        <v>IraqiJew4291</v>
      </c>
    </row>
    <row r="203" spans="1:18" x14ac:dyDescent="0.3">
      <c r="A203">
        <v>202</v>
      </c>
      <c r="B203" t="s">
        <v>1893</v>
      </c>
      <c r="C203" t="s">
        <v>602</v>
      </c>
      <c r="D203" t="s">
        <v>604</v>
      </c>
      <c r="E203" t="s">
        <v>1894</v>
      </c>
      <c r="F203" t="s">
        <v>112</v>
      </c>
      <c r="G203" t="s">
        <v>120</v>
      </c>
      <c r="H203" t="s">
        <v>605</v>
      </c>
      <c r="I203" t="s">
        <v>608</v>
      </c>
      <c r="J203" t="s">
        <v>37</v>
      </c>
      <c r="K203" t="s">
        <v>606</v>
      </c>
      <c r="L203" t="s">
        <v>607</v>
      </c>
      <c r="M203">
        <v>33.299999999999997</v>
      </c>
      <c r="N203">
        <v>44.4</v>
      </c>
      <c r="O203" t="s">
        <v>26</v>
      </c>
      <c r="P203" t="s">
        <v>1893</v>
      </c>
      <c r="Q203" t="s">
        <v>27</v>
      </c>
      <c r="R203" t="str">
        <f>VLOOKUP(C203,Tabelle1!B:C,2,0)</f>
        <v>IraqiJew1771</v>
      </c>
    </row>
    <row r="204" spans="1:18" x14ac:dyDescent="0.3">
      <c r="A204">
        <v>203</v>
      </c>
      <c r="B204" t="s">
        <v>1895</v>
      </c>
      <c r="C204" t="s">
        <v>81</v>
      </c>
      <c r="D204" t="s">
        <v>83</v>
      </c>
      <c r="E204" t="s">
        <v>1896</v>
      </c>
      <c r="F204" t="s">
        <v>16</v>
      </c>
      <c r="G204" t="s">
        <v>32</v>
      </c>
      <c r="H204" t="s">
        <v>84</v>
      </c>
      <c r="I204" t="s">
        <v>51</v>
      </c>
      <c r="J204" t="s">
        <v>56</v>
      </c>
      <c r="K204" t="s">
        <v>85</v>
      </c>
      <c r="L204" t="s">
        <v>50</v>
      </c>
      <c r="M204">
        <v>12</v>
      </c>
      <c r="N204">
        <v>-12</v>
      </c>
      <c r="O204" t="s">
        <v>26</v>
      </c>
      <c r="P204" t="s">
        <v>1895</v>
      </c>
      <c r="Q204" t="s">
        <v>27</v>
      </c>
      <c r="R204" t="str">
        <f>VLOOKUP(C204,Tabelle1!B:C,2,0)</f>
        <v>HGDP01286</v>
      </c>
    </row>
    <row r="205" spans="1:18" x14ac:dyDescent="0.3">
      <c r="A205">
        <v>204</v>
      </c>
      <c r="B205" t="s">
        <v>1897</v>
      </c>
      <c r="C205" t="s">
        <v>122</v>
      </c>
      <c r="D205" t="s">
        <v>124</v>
      </c>
      <c r="E205" t="s">
        <v>1898</v>
      </c>
      <c r="F205" t="s">
        <v>112</v>
      </c>
      <c r="G205" t="s">
        <v>32</v>
      </c>
      <c r="H205" t="s">
        <v>125</v>
      </c>
      <c r="I205" t="s">
        <v>1899</v>
      </c>
      <c r="J205" t="s">
        <v>126</v>
      </c>
      <c r="K205" t="s">
        <v>127</v>
      </c>
      <c r="L205" t="s">
        <v>1900</v>
      </c>
      <c r="M205">
        <v>50.84</v>
      </c>
      <c r="N205">
        <v>85.653999999999996</v>
      </c>
      <c r="O205" t="s">
        <v>121</v>
      </c>
      <c r="P205" t="s">
        <v>1897</v>
      </c>
      <c r="Q205" t="s">
        <v>27</v>
      </c>
      <c r="R205" t="str">
        <f>VLOOKUP(C205,Tabelle1!B:C,2,0)</f>
        <v>altai363p</v>
      </c>
    </row>
    <row r="206" spans="1:18" x14ac:dyDescent="0.3">
      <c r="A206">
        <v>205</v>
      </c>
      <c r="B206" t="s">
        <v>1901</v>
      </c>
      <c r="C206" t="s">
        <v>946</v>
      </c>
      <c r="D206" t="s">
        <v>948</v>
      </c>
      <c r="E206" t="s">
        <v>1902</v>
      </c>
      <c r="F206" t="s">
        <v>112</v>
      </c>
      <c r="G206" t="s">
        <v>120</v>
      </c>
      <c r="H206" t="s">
        <v>945</v>
      </c>
      <c r="I206" t="s">
        <v>51</v>
      </c>
      <c r="J206" t="s">
        <v>48</v>
      </c>
      <c r="K206" t="s">
        <v>49</v>
      </c>
      <c r="L206" t="s">
        <v>50</v>
      </c>
      <c r="M206">
        <v>29</v>
      </c>
      <c r="N206">
        <v>109</v>
      </c>
      <c r="O206" t="s">
        <v>26</v>
      </c>
      <c r="P206" t="s">
        <v>1901</v>
      </c>
      <c r="Q206" t="s">
        <v>27</v>
      </c>
      <c r="R206" t="str">
        <f>VLOOKUP(C206,Tabelle1!B:C,2,0)</f>
        <v>HGDP01098</v>
      </c>
    </row>
    <row r="207" spans="1:18" x14ac:dyDescent="0.3">
      <c r="A207">
        <v>206</v>
      </c>
      <c r="B207" t="s">
        <v>1903</v>
      </c>
      <c r="C207" t="s">
        <v>249</v>
      </c>
      <c r="D207" t="s">
        <v>251</v>
      </c>
      <c r="E207" t="s">
        <v>1904</v>
      </c>
      <c r="F207" t="s">
        <v>112</v>
      </c>
      <c r="G207" t="s">
        <v>32</v>
      </c>
      <c r="H207" t="s">
        <v>247</v>
      </c>
      <c r="I207" t="s">
        <v>134</v>
      </c>
      <c r="J207" t="s">
        <v>56</v>
      </c>
      <c r="K207" t="s">
        <v>207</v>
      </c>
      <c r="L207" t="s">
        <v>248</v>
      </c>
      <c r="M207">
        <v>-1.5</v>
      </c>
      <c r="N207">
        <v>35.200000000000003</v>
      </c>
      <c r="O207" t="s">
        <v>26</v>
      </c>
      <c r="P207" t="s">
        <v>1903</v>
      </c>
      <c r="Q207" t="s">
        <v>27</v>
      </c>
      <c r="R207" t="str">
        <f>VLOOKUP(C207,Tabelle1!B:C,2,0)</f>
        <v>NA21581</v>
      </c>
    </row>
    <row r="208" spans="1:18" x14ac:dyDescent="0.3">
      <c r="A208">
        <v>207</v>
      </c>
      <c r="B208" t="s">
        <v>1905</v>
      </c>
      <c r="C208" t="s">
        <v>244</v>
      </c>
      <c r="D208" t="s">
        <v>246</v>
      </c>
      <c r="E208" t="s">
        <v>1906</v>
      </c>
      <c r="F208" t="s">
        <v>112</v>
      </c>
      <c r="G208" t="s">
        <v>32</v>
      </c>
      <c r="H208" t="s">
        <v>247</v>
      </c>
      <c r="I208" t="s">
        <v>134</v>
      </c>
      <c r="J208" t="s">
        <v>56</v>
      </c>
      <c r="K208" t="s">
        <v>207</v>
      </c>
      <c r="L208" t="s">
        <v>248</v>
      </c>
      <c r="M208">
        <v>-1.5</v>
      </c>
      <c r="N208">
        <v>35.200000000000003</v>
      </c>
      <c r="O208" t="s">
        <v>26</v>
      </c>
      <c r="P208" t="s">
        <v>1905</v>
      </c>
      <c r="Q208" t="s">
        <v>27</v>
      </c>
      <c r="R208" t="str">
        <f>VLOOKUP(C208,Tabelle1!B:C,2,0)</f>
        <v>NA21490</v>
      </c>
    </row>
    <row r="209" spans="1:18" x14ac:dyDescent="0.3">
      <c r="A209">
        <v>208</v>
      </c>
      <c r="B209" t="s">
        <v>1907</v>
      </c>
      <c r="C209" t="s">
        <v>1033</v>
      </c>
      <c r="D209" t="s">
        <v>1035</v>
      </c>
      <c r="E209" t="s">
        <v>1908</v>
      </c>
      <c r="F209" t="s">
        <v>112</v>
      </c>
      <c r="G209" t="s">
        <v>120</v>
      </c>
      <c r="H209" t="s">
        <v>47</v>
      </c>
      <c r="I209" t="s">
        <v>51</v>
      </c>
      <c r="J209" t="s">
        <v>48</v>
      </c>
      <c r="K209" t="s">
        <v>49</v>
      </c>
      <c r="L209" t="s">
        <v>50</v>
      </c>
      <c r="M209">
        <v>21</v>
      </c>
      <c r="N209">
        <v>100</v>
      </c>
      <c r="O209" t="s">
        <v>26</v>
      </c>
      <c r="P209" t="s">
        <v>1907</v>
      </c>
      <c r="Q209" t="s">
        <v>27</v>
      </c>
      <c r="R209" t="str">
        <f>VLOOKUP(C209,Tabelle1!B:C,2,0)</f>
        <v>HGDP01314</v>
      </c>
    </row>
    <row r="210" spans="1:18" x14ac:dyDescent="0.3">
      <c r="A210">
        <v>209</v>
      </c>
      <c r="B210" t="s">
        <v>1909</v>
      </c>
      <c r="C210" t="s">
        <v>1036</v>
      </c>
      <c r="D210" t="s">
        <v>1038</v>
      </c>
      <c r="E210" t="s">
        <v>1910</v>
      </c>
      <c r="F210" t="s">
        <v>112</v>
      </c>
      <c r="G210" t="s">
        <v>32</v>
      </c>
      <c r="H210" t="s">
        <v>47</v>
      </c>
      <c r="I210" t="s">
        <v>51</v>
      </c>
      <c r="J210" t="s">
        <v>48</v>
      </c>
      <c r="K210" t="s">
        <v>49</v>
      </c>
      <c r="L210" t="s">
        <v>50</v>
      </c>
      <c r="M210">
        <v>21</v>
      </c>
      <c r="N210">
        <v>100</v>
      </c>
      <c r="O210" t="s">
        <v>26</v>
      </c>
      <c r="P210" t="s">
        <v>1909</v>
      </c>
      <c r="Q210" t="s">
        <v>27</v>
      </c>
      <c r="R210" t="str">
        <f>VLOOKUP(C210,Tabelle1!B:C,2,0)</f>
        <v>HGDP01312</v>
      </c>
    </row>
    <row r="211" spans="1:18" x14ac:dyDescent="0.3">
      <c r="A211">
        <v>210</v>
      </c>
      <c r="B211" t="s">
        <v>1911</v>
      </c>
      <c r="C211" t="s">
        <v>1039</v>
      </c>
      <c r="D211" t="s">
        <v>1041</v>
      </c>
      <c r="E211" t="s">
        <v>1912</v>
      </c>
      <c r="F211" t="s">
        <v>112</v>
      </c>
      <c r="G211" t="s">
        <v>120</v>
      </c>
      <c r="H211" t="s">
        <v>47</v>
      </c>
      <c r="I211" t="s">
        <v>51</v>
      </c>
      <c r="J211" t="s">
        <v>48</v>
      </c>
      <c r="K211" t="s">
        <v>49</v>
      </c>
      <c r="L211" t="s">
        <v>50</v>
      </c>
      <c r="M211">
        <v>21</v>
      </c>
      <c r="N211">
        <v>100</v>
      </c>
      <c r="O211" t="s">
        <v>26</v>
      </c>
      <c r="P211" t="s">
        <v>1911</v>
      </c>
      <c r="Q211" t="s">
        <v>27</v>
      </c>
      <c r="R211" t="str">
        <f>VLOOKUP(C211,Tabelle1!B:C,2,0)</f>
        <v>HGDP01315</v>
      </c>
    </row>
    <row r="212" spans="1:18" x14ac:dyDescent="0.3">
      <c r="A212">
        <v>211</v>
      </c>
      <c r="B212" t="s">
        <v>1913</v>
      </c>
      <c r="C212" t="s">
        <v>364</v>
      </c>
      <c r="D212" t="s">
        <v>366</v>
      </c>
      <c r="E212" t="s">
        <v>1914</v>
      </c>
      <c r="F212" t="s">
        <v>112</v>
      </c>
      <c r="G212" t="s">
        <v>120</v>
      </c>
      <c r="H212" t="s">
        <v>363</v>
      </c>
      <c r="I212" t="s">
        <v>51</v>
      </c>
      <c r="J212" t="s">
        <v>37</v>
      </c>
      <c r="K212" t="s">
        <v>65</v>
      </c>
      <c r="L212" t="s">
        <v>50</v>
      </c>
      <c r="M212">
        <v>43</v>
      </c>
      <c r="N212">
        <v>0</v>
      </c>
      <c r="O212" t="s">
        <v>26</v>
      </c>
      <c r="P212" t="s">
        <v>1913</v>
      </c>
      <c r="Q212" t="s">
        <v>27</v>
      </c>
      <c r="R212" t="str">
        <f>VLOOKUP(C212,Tabelle1!B:C,2,0)</f>
        <v>HGDP01365</v>
      </c>
    </row>
    <row r="213" spans="1:18" x14ac:dyDescent="0.3">
      <c r="A213">
        <v>212</v>
      </c>
      <c r="B213" t="s">
        <v>1915</v>
      </c>
      <c r="C213" t="s">
        <v>360</v>
      </c>
      <c r="D213" t="s">
        <v>362</v>
      </c>
      <c r="E213" t="s">
        <v>1916</v>
      </c>
      <c r="F213" t="s">
        <v>112</v>
      </c>
      <c r="G213" t="s">
        <v>32</v>
      </c>
      <c r="H213" t="s">
        <v>363</v>
      </c>
      <c r="I213" t="s">
        <v>51</v>
      </c>
      <c r="J213" t="s">
        <v>37</v>
      </c>
      <c r="K213" t="s">
        <v>65</v>
      </c>
      <c r="L213" t="s">
        <v>50</v>
      </c>
      <c r="M213">
        <v>43</v>
      </c>
      <c r="N213">
        <v>0</v>
      </c>
      <c r="O213" t="s">
        <v>26</v>
      </c>
      <c r="P213" t="s">
        <v>1915</v>
      </c>
      <c r="Q213" t="s">
        <v>27</v>
      </c>
      <c r="R213" t="str">
        <f>VLOOKUP(C213,Tabelle1!B:C,2,0)</f>
        <v>HGDP01364</v>
      </c>
    </row>
    <row r="214" spans="1:18" x14ac:dyDescent="0.3">
      <c r="A214">
        <v>213</v>
      </c>
      <c r="B214" t="s">
        <v>1917</v>
      </c>
      <c r="C214" t="s">
        <v>685</v>
      </c>
      <c r="D214" t="s">
        <v>687</v>
      </c>
      <c r="E214" t="s">
        <v>1918</v>
      </c>
      <c r="F214" t="s">
        <v>112</v>
      </c>
      <c r="G214" t="s">
        <v>120</v>
      </c>
      <c r="H214" t="s">
        <v>681</v>
      </c>
      <c r="I214" t="s">
        <v>684</v>
      </c>
      <c r="J214" t="s">
        <v>126</v>
      </c>
      <c r="K214" t="s">
        <v>682</v>
      </c>
      <c r="L214" t="s">
        <v>683</v>
      </c>
      <c r="M214">
        <v>42.9</v>
      </c>
      <c r="N214">
        <v>74.599999999999994</v>
      </c>
      <c r="O214" t="s">
        <v>121</v>
      </c>
      <c r="P214" t="s">
        <v>1917</v>
      </c>
      <c r="Q214" t="s">
        <v>27</v>
      </c>
      <c r="R214" t="str">
        <f>VLOOKUP(C214,Tabelle1!B:C,2,0)</f>
        <v>Bishkek28439</v>
      </c>
    </row>
    <row r="215" spans="1:18" x14ac:dyDescent="0.3">
      <c r="A215">
        <v>214</v>
      </c>
      <c r="B215" t="s">
        <v>1919</v>
      </c>
      <c r="C215" t="s">
        <v>678</v>
      </c>
      <c r="D215" t="s">
        <v>680</v>
      </c>
      <c r="E215" t="s">
        <v>1920</v>
      </c>
      <c r="F215" t="s">
        <v>112</v>
      </c>
      <c r="G215" t="s">
        <v>32</v>
      </c>
      <c r="H215" t="s">
        <v>681</v>
      </c>
      <c r="I215" t="s">
        <v>684</v>
      </c>
      <c r="J215" t="s">
        <v>126</v>
      </c>
      <c r="K215" t="s">
        <v>682</v>
      </c>
      <c r="L215" t="s">
        <v>683</v>
      </c>
      <c r="M215">
        <v>42.9</v>
      </c>
      <c r="N215">
        <v>74.599999999999994</v>
      </c>
      <c r="O215" t="s">
        <v>121</v>
      </c>
      <c r="P215" t="s">
        <v>1919</v>
      </c>
      <c r="Q215" t="s">
        <v>27</v>
      </c>
      <c r="R215" t="str">
        <f>VLOOKUP(C215,Tabelle1!B:C,2,0)</f>
        <v>Bishkek28440</v>
      </c>
    </row>
    <row r="216" spans="1:18" x14ac:dyDescent="0.3">
      <c r="A216">
        <v>215</v>
      </c>
      <c r="B216" t="s">
        <v>1921</v>
      </c>
      <c r="C216" t="s">
        <v>574</v>
      </c>
      <c r="D216" t="s">
        <v>576</v>
      </c>
      <c r="E216" t="s">
        <v>1922</v>
      </c>
      <c r="F216" t="s">
        <v>112</v>
      </c>
      <c r="G216" t="s">
        <v>32</v>
      </c>
      <c r="H216" t="s">
        <v>572</v>
      </c>
      <c r="I216" t="s">
        <v>134</v>
      </c>
      <c r="J216" t="s">
        <v>37</v>
      </c>
      <c r="K216" t="s">
        <v>573</v>
      </c>
      <c r="L216" t="s">
        <v>23</v>
      </c>
      <c r="M216">
        <v>47.5</v>
      </c>
      <c r="N216">
        <v>19.100000000000001</v>
      </c>
      <c r="O216" t="s">
        <v>26</v>
      </c>
      <c r="P216" t="s">
        <v>1921</v>
      </c>
      <c r="Q216" t="s">
        <v>27</v>
      </c>
      <c r="R216" t="str">
        <f>VLOOKUP(C216,Tabelle1!B:C,2,0)</f>
        <v>NA15202</v>
      </c>
    </row>
    <row r="217" spans="1:18" x14ac:dyDescent="0.3">
      <c r="A217">
        <v>216</v>
      </c>
      <c r="B217" t="s">
        <v>1923</v>
      </c>
      <c r="C217" t="s">
        <v>569</v>
      </c>
      <c r="D217" t="s">
        <v>571</v>
      </c>
      <c r="E217" t="s">
        <v>1924</v>
      </c>
      <c r="F217" t="s">
        <v>112</v>
      </c>
      <c r="G217" t="s">
        <v>120</v>
      </c>
      <c r="H217" t="s">
        <v>572</v>
      </c>
      <c r="I217" t="s">
        <v>134</v>
      </c>
      <c r="J217" t="s">
        <v>37</v>
      </c>
      <c r="K217" t="s">
        <v>573</v>
      </c>
      <c r="L217" t="s">
        <v>23</v>
      </c>
      <c r="M217">
        <v>47.5</v>
      </c>
      <c r="N217">
        <v>19.100000000000001</v>
      </c>
      <c r="O217" t="s">
        <v>26</v>
      </c>
      <c r="P217" t="s">
        <v>1923</v>
      </c>
      <c r="Q217" t="s">
        <v>27</v>
      </c>
      <c r="R217" t="str">
        <f>VLOOKUP(C217,Tabelle1!B:C,2,0)</f>
        <v>NA15203</v>
      </c>
    </row>
    <row r="218" spans="1:18" x14ac:dyDescent="0.3">
      <c r="A218">
        <v>217</v>
      </c>
      <c r="B218" t="s">
        <v>1925</v>
      </c>
      <c r="C218" t="s">
        <v>955</v>
      </c>
      <c r="D218" t="s">
        <v>957</v>
      </c>
      <c r="E218" t="s">
        <v>1926</v>
      </c>
      <c r="F218" t="s">
        <v>112</v>
      </c>
      <c r="G218" t="s">
        <v>120</v>
      </c>
      <c r="H218" t="s">
        <v>952</v>
      </c>
      <c r="I218" t="s">
        <v>684</v>
      </c>
      <c r="J218" t="s">
        <v>37</v>
      </c>
      <c r="K218" t="s">
        <v>953</v>
      </c>
      <c r="L218" t="s">
        <v>954</v>
      </c>
      <c r="M218">
        <v>38.700000000000003</v>
      </c>
      <c r="N218">
        <v>35.5</v>
      </c>
      <c r="O218" t="s">
        <v>121</v>
      </c>
      <c r="P218" t="s">
        <v>1925</v>
      </c>
      <c r="Q218" t="s">
        <v>27</v>
      </c>
      <c r="R218" t="str">
        <f>VLOOKUP(C218,Tabelle1!B:C,2,0)</f>
        <v>Kayseri24424</v>
      </c>
    </row>
    <row r="219" spans="1:18" x14ac:dyDescent="0.3">
      <c r="A219">
        <v>218</v>
      </c>
      <c r="B219" t="s">
        <v>1927</v>
      </c>
      <c r="C219" t="s">
        <v>949</v>
      </c>
      <c r="D219" t="s">
        <v>951</v>
      </c>
      <c r="E219" t="s">
        <v>1928</v>
      </c>
      <c r="F219" t="s">
        <v>112</v>
      </c>
      <c r="G219" t="s">
        <v>32</v>
      </c>
      <c r="H219" t="s">
        <v>952</v>
      </c>
      <c r="I219" t="s">
        <v>684</v>
      </c>
      <c r="J219" t="s">
        <v>37</v>
      </c>
      <c r="K219" t="s">
        <v>953</v>
      </c>
      <c r="L219" t="s">
        <v>954</v>
      </c>
      <c r="M219">
        <v>38.700000000000003</v>
      </c>
      <c r="N219">
        <v>35.5</v>
      </c>
      <c r="O219" t="s">
        <v>121</v>
      </c>
      <c r="P219" t="s">
        <v>1927</v>
      </c>
      <c r="Q219" t="s">
        <v>27</v>
      </c>
      <c r="R219" t="str">
        <f>VLOOKUP(C219,Tabelle1!B:C,2,0)</f>
        <v>Kayseri23827</v>
      </c>
    </row>
    <row r="220" spans="1:18" x14ac:dyDescent="0.3">
      <c r="A220">
        <v>219</v>
      </c>
      <c r="B220" t="s">
        <v>1929</v>
      </c>
      <c r="C220" t="s">
        <v>740</v>
      </c>
      <c r="D220" t="s">
        <v>742</v>
      </c>
      <c r="E220" t="s">
        <v>1930</v>
      </c>
      <c r="F220" t="s">
        <v>112</v>
      </c>
      <c r="G220" t="s">
        <v>32</v>
      </c>
      <c r="H220" t="s">
        <v>84</v>
      </c>
      <c r="I220" t="s">
        <v>51</v>
      </c>
      <c r="J220" t="s">
        <v>56</v>
      </c>
      <c r="K220" t="s">
        <v>85</v>
      </c>
      <c r="L220" t="s">
        <v>50</v>
      </c>
      <c r="M220">
        <v>12</v>
      </c>
      <c r="N220">
        <v>-12</v>
      </c>
      <c r="O220" t="s">
        <v>26</v>
      </c>
      <c r="P220" t="s">
        <v>1929</v>
      </c>
      <c r="Q220" t="s">
        <v>27</v>
      </c>
      <c r="R220" t="str">
        <f>VLOOKUP(C220,Tabelle1!B:C,2,0)</f>
        <v>HGDP01199</v>
      </c>
    </row>
    <row r="221" spans="1:18" x14ac:dyDescent="0.3">
      <c r="A221">
        <v>220</v>
      </c>
      <c r="B221" t="s">
        <v>1931</v>
      </c>
      <c r="C221" t="s">
        <v>743</v>
      </c>
      <c r="D221" t="s">
        <v>745</v>
      </c>
      <c r="E221" t="s">
        <v>1932</v>
      </c>
      <c r="F221" t="s">
        <v>112</v>
      </c>
      <c r="G221" t="s">
        <v>120</v>
      </c>
      <c r="H221" t="s">
        <v>84</v>
      </c>
      <c r="I221" t="s">
        <v>51</v>
      </c>
      <c r="J221" t="s">
        <v>56</v>
      </c>
      <c r="K221" t="s">
        <v>85</v>
      </c>
      <c r="L221" t="s">
        <v>50</v>
      </c>
      <c r="M221">
        <v>12</v>
      </c>
      <c r="N221">
        <v>-12</v>
      </c>
      <c r="O221" t="s">
        <v>26</v>
      </c>
      <c r="P221" t="s">
        <v>1931</v>
      </c>
      <c r="Q221" t="s">
        <v>27</v>
      </c>
      <c r="R221" t="str">
        <f>VLOOKUP(C221,Tabelle1!B:C,2,0)</f>
        <v>HGDP00915</v>
      </c>
    </row>
    <row r="222" spans="1:18" x14ac:dyDescent="0.3">
      <c r="A222">
        <v>221</v>
      </c>
      <c r="B222" t="s">
        <v>1933</v>
      </c>
      <c r="C222" t="s">
        <v>719</v>
      </c>
      <c r="D222" t="s">
        <v>721</v>
      </c>
      <c r="E222" t="s">
        <v>1934</v>
      </c>
      <c r="F222" t="s">
        <v>112</v>
      </c>
      <c r="G222" t="s">
        <v>32</v>
      </c>
      <c r="H222" t="s">
        <v>722</v>
      </c>
      <c r="I222" t="s">
        <v>178</v>
      </c>
      <c r="J222" t="s">
        <v>176</v>
      </c>
      <c r="K222" t="s">
        <v>177</v>
      </c>
      <c r="L222" t="s">
        <v>403</v>
      </c>
      <c r="M222">
        <v>17.7</v>
      </c>
      <c r="N222">
        <v>83.3</v>
      </c>
      <c r="O222" t="s">
        <v>121</v>
      </c>
      <c r="P222" t="s">
        <v>1933</v>
      </c>
      <c r="Q222" t="s">
        <v>27</v>
      </c>
      <c r="R222" t="str">
        <f>VLOOKUP(C222,Tabelle1!B:C,2,0)</f>
        <v>M4</v>
      </c>
    </row>
    <row r="223" spans="1:18" x14ac:dyDescent="0.3">
      <c r="A223">
        <v>222</v>
      </c>
      <c r="B223" t="s">
        <v>1935</v>
      </c>
      <c r="C223" t="s">
        <v>723</v>
      </c>
      <c r="D223" t="s">
        <v>725</v>
      </c>
      <c r="E223" t="s">
        <v>1936</v>
      </c>
      <c r="F223" t="s">
        <v>112</v>
      </c>
      <c r="G223" t="s">
        <v>32</v>
      </c>
      <c r="H223" t="s">
        <v>722</v>
      </c>
      <c r="I223" t="s">
        <v>178</v>
      </c>
      <c r="J223" t="s">
        <v>176</v>
      </c>
      <c r="K223" t="s">
        <v>177</v>
      </c>
      <c r="L223" t="s">
        <v>403</v>
      </c>
      <c r="M223">
        <v>17.7</v>
      </c>
      <c r="N223">
        <v>83.3</v>
      </c>
      <c r="O223" t="s">
        <v>121</v>
      </c>
      <c r="P223" t="s">
        <v>1935</v>
      </c>
      <c r="Q223" t="s">
        <v>27</v>
      </c>
      <c r="R223" t="str">
        <f>VLOOKUP(C223,Tabelle1!B:C,2,0)</f>
        <v>M13</v>
      </c>
    </row>
    <row r="224" spans="1:18" x14ac:dyDescent="0.3">
      <c r="A224">
        <v>223</v>
      </c>
      <c r="B224" t="s">
        <v>1937</v>
      </c>
      <c r="C224" t="s">
        <v>501</v>
      </c>
      <c r="D224" t="s">
        <v>503</v>
      </c>
      <c r="E224" t="s">
        <v>1938</v>
      </c>
      <c r="F224" t="s">
        <v>112</v>
      </c>
      <c r="G224" t="s">
        <v>32</v>
      </c>
      <c r="H224" t="s">
        <v>504</v>
      </c>
      <c r="I224" t="s">
        <v>1480</v>
      </c>
      <c r="J224" t="s">
        <v>126</v>
      </c>
      <c r="K224" t="s">
        <v>127</v>
      </c>
      <c r="L224" t="s">
        <v>1939</v>
      </c>
      <c r="M224">
        <v>64.400000000000006</v>
      </c>
      <c r="N224">
        <v>173.9</v>
      </c>
      <c r="O224" t="s">
        <v>121</v>
      </c>
      <c r="P224" t="s">
        <v>1937</v>
      </c>
      <c r="Q224" t="s">
        <v>27</v>
      </c>
      <c r="R224" t="str">
        <f>VLOOKUP(C224,Tabelle1!B:C,2,0)</f>
        <v>Sir26</v>
      </c>
    </row>
    <row r="225" spans="1:18" x14ac:dyDescent="0.3">
      <c r="A225">
        <v>224</v>
      </c>
      <c r="B225" t="s">
        <v>1940</v>
      </c>
      <c r="C225" t="s">
        <v>505</v>
      </c>
      <c r="D225" t="s">
        <v>507</v>
      </c>
      <c r="E225" t="s">
        <v>1941</v>
      </c>
      <c r="F225" t="s">
        <v>112</v>
      </c>
      <c r="G225" t="s">
        <v>120</v>
      </c>
      <c r="H225" t="s">
        <v>504</v>
      </c>
      <c r="I225" t="s">
        <v>1480</v>
      </c>
      <c r="J225" t="s">
        <v>126</v>
      </c>
      <c r="K225" t="s">
        <v>127</v>
      </c>
      <c r="L225" t="s">
        <v>1939</v>
      </c>
      <c r="M225">
        <v>64.400000000000006</v>
      </c>
      <c r="N225">
        <v>173.9</v>
      </c>
      <c r="O225" t="s">
        <v>121</v>
      </c>
      <c r="P225" t="s">
        <v>1940</v>
      </c>
      <c r="Q225" t="s">
        <v>27</v>
      </c>
      <c r="R225" t="str">
        <f>VLOOKUP(C225,Tabelle1!B:C,2,0)</f>
        <v>Sir40</v>
      </c>
    </row>
    <row r="226" spans="1:18" x14ac:dyDescent="0.3">
      <c r="A226">
        <v>225</v>
      </c>
      <c r="B226" t="s">
        <v>1942</v>
      </c>
      <c r="C226" t="s">
        <v>147</v>
      </c>
      <c r="D226" t="s">
        <v>149</v>
      </c>
      <c r="E226" t="s">
        <v>1943</v>
      </c>
      <c r="F226" t="s">
        <v>112</v>
      </c>
      <c r="G226" t="s">
        <v>32</v>
      </c>
      <c r="H226" t="s">
        <v>150</v>
      </c>
      <c r="I226" t="s">
        <v>1480</v>
      </c>
      <c r="J226" t="s">
        <v>126</v>
      </c>
      <c r="K226" t="s">
        <v>127</v>
      </c>
      <c r="L226" t="s">
        <v>1939</v>
      </c>
      <c r="M226">
        <v>69</v>
      </c>
      <c r="N226">
        <v>169</v>
      </c>
      <c r="O226" t="s">
        <v>121</v>
      </c>
      <c r="P226" t="s">
        <v>1942</v>
      </c>
      <c r="Q226" t="s">
        <v>27</v>
      </c>
      <c r="R226" t="str">
        <f>VLOOKUP(C226,Tabelle1!B:C,2,0)</f>
        <v>Sir19</v>
      </c>
    </row>
    <row r="227" spans="1:18" x14ac:dyDescent="0.3">
      <c r="A227">
        <v>226</v>
      </c>
      <c r="B227" t="s">
        <v>1944</v>
      </c>
      <c r="C227" t="s">
        <v>639</v>
      </c>
      <c r="D227" t="s">
        <v>641</v>
      </c>
      <c r="E227" t="s">
        <v>1945</v>
      </c>
      <c r="F227" t="s">
        <v>112</v>
      </c>
      <c r="G227" t="s">
        <v>120</v>
      </c>
      <c r="H227" t="s">
        <v>642</v>
      </c>
      <c r="I227" t="s">
        <v>1946</v>
      </c>
      <c r="J227" t="s">
        <v>56</v>
      </c>
      <c r="K227" t="s">
        <v>643</v>
      </c>
      <c r="L227" t="s">
        <v>1947</v>
      </c>
      <c r="M227">
        <v>-27</v>
      </c>
      <c r="N227">
        <v>20.8</v>
      </c>
      <c r="O227" t="s">
        <v>60</v>
      </c>
      <c r="P227" t="s">
        <v>1944</v>
      </c>
      <c r="Q227" t="s">
        <v>27</v>
      </c>
      <c r="R227" t="str">
        <f>VLOOKUP(C227,Tabelle1!B:C,2,0)</f>
        <v>SA0342</v>
      </c>
    </row>
    <row r="228" spans="1:18" x14ac:dyDescent="0.3">
      <c r="A228">
        <v>227</v>
      </c>
      <c r="B228" t="s">
        <v>1948</v>
      </c>
      <c r="C228" t="s">
        <v>645</v>
      </c>
      <c r="D228" t="s">
        <v>647</v>
      </c>
      <c r="E228" t="s">
        <v>1949</v>
      </c>
      <c r="F228" t="s">
        <v>112</v>
      </c>
      <c r="G228" t="s">
        <v>120</v>
      </c>
      <c r="H228" t="s">
        <v>642</v>
      </c>
      <c r="I228" t="s">
        <v>1946</v>
      </c>
      <c r="J228" t="s">
        <v>56</v>
      </c>
      <c r="K228" t="s">
        <v>643</v>
      </c>
      <c r="L228" t="s">
        <v>1950</v>
      </c>
      <c r="M228">
        <v>-27</v>
      </c>
      <c r="N228">
        <v>20.8</v>
      </c>
      <c r="O228" t="s">
        <v>60</v>
      </c>
      <c r="P228" t="s">
        <v>1948</v>
      </c>
      <c r="Q228" t="s">
        <v>27</v>
      </c>
      <c r="R228" t="str">
        <f>VLOOKUP(C228,Tabelle1!B:C,2,0)</f>
        <v>SA0722</v>
      </c>
    </row>
    <row r="229" spans="1:18" x14ac:dyDescent="0.3">
      <c r="A229">
        <v>228</v>
      </c>
      <c r="B229" t="s">
        <v>1951</v>
      </c>
      <c r="C229" t="s">
        <v>508</v>
      </c>
      <c r="D229" t="s">
        <v>510</v>
      </c>
      <c r="E229" t="s">
        <v>1952</v>
      </c>
      <c r="F229" t="s">
        <v>112</v>
      </c>
      <c r="G229" t="s">
        <v>32</v>
      </c>
      <c r="H229" t="s">
        <v>511</v>
      </c>
      <c r="I229" t="s">
        <v>286</v>
      </c>
      <c r="J229" t="s">
        <v>37</v>
      </c>
      <c r="K229" t="s">
        <v>512</v>
      </c>
      <c r="L229" t="s">
        <v>513</v>
      </c>
      <c r="M229">
        <v>58.386000000000003</v>
      </c>
      <c r="N229">
        <v>24.501999999999999</v>
      </c>
      <c r="O229" t="s">
        <v>121</v>
      </c>
      <c r="P229" t="s">
        <v>1951</v>
      </c>
      <c r="Q229" t="s">
        <v>27</v>
      </c>
      <c r="R229" t="str">
        <f>VLOOKUP(C229,Tabelle1!B:C,2,0)</f>
        <v>Est375</v>
      </c>
    </row>
    <row r="230" spans="1:18" x14ac:dyDescent="0.3">
      <c r="A230">
        <v>229</v>
      </c>
      <c r="B230" t="s">
        <v>1953</v>
      </c>
      <c r="C230" t="s">
        <v>514</v>
      </c>
      <c r="D230" t="s">
        <v>516</v>
      </c>
      <c r="E230" t="s">
        <v>1954</v>
      </c>
      <c r="F230" t="s">
        <v>112</v>
      </c>
      <c r="G230" t="s">
        <v>32</v>
      </c>
      <c r="H230" t="s">
        <v>511</v>
      </c>
      <c r="I230" t="s">
        <v>286</v>
      </c>
      <c r="J230" t="s">
        <v>37</v>
      </c>
      <c r="K230" t="s">
        <v>512</v>
      </c>
      <c r="L230" t="s">
        <v>517</v>
      </c>
      <c r="M230">
        <v>58.984999999999999</v>
      </c>
      <c r="N230">
        <v>26.864000000000001</v>
      </c>
      <c r="O230" t="s">
        <v>121</v>
      </c>
      <c r="P230" t="s">
        <v>1953</v>
      </c>
      <c r="Q230" t="s">
        <v>27</v>
      </c>
      <c r="R230" t="str">
        <f>VLOOKUP(C230,Tabelle1!B:C,2,0)</f>
        <v>Est400</v>
      </c>
    </row>
    <row r="231" spans="1:18" x14ac:dyDescent="0.3">
      <c r="A231">
        <v>230</v>
      </c>
      <c r="B231" t="s">
        <v>1955</v>
      </c>
      <c r="C231" t="s">
        <v>994</v>
      </c>
      <c r="D231" t="s">
        <v>996</v>
      </c>
      <c r="E231" t="s">
        <v>1956</v>
      </c>
      <c r="F231" t="s">
        <v>112</v>
      </c>
      <c r="G231" t="s">
        <v>32</v>
      </c>
      <c r="H231" t="s">
        <v>993</v>
      </c>
      <c r="I231" t="s">
        <v>178</v>
      </c>
      <c r="J231" t="s">
        <v>176</v>
      </c>
      <c r="K231" t="s">
        <v>177</v>
      </c>
      <c r="L231" t="s">
        <v>403</v>
      </c>
      <c r="M231">
        <v>17.7</v>
      </c>
      <c r="N231">
        <v>83.3</v>
      </c>
      <c r="O231" t="s">
        <v>121</v>
      </c>
      <c r="P231" t="s">
        <v>1955</v>
      </c>
      <c r="Q231" t="s">
        <v>27</v>
      </c>
      <c r="R231" t="str">
        <f>VLOOKUP(C231,Tabelle1!B:C,2,0)</f>
        <v>Y8</v>
      </c>
    </row>
    <row r="232" spans="1:18" x14ac:dyDescent="0.3">
      <c r="A232">
        <v>231</v>
      </c>
      <c r="B232" t="s">
        <v>1957</v>
      </c>
      <c r="C232" t="s">
        <v>990</v>
      </c>
      <c r="D232" t="s">
        <v>992</v>
      </c>
      <c r="E232" t="s">
        <v>1958</v>
      </c>
      <c r="F232" t="s">
        <v>112</v>
      </c>
      <c r="G232" t="s">
        <v>32</v>
      </c>
      <c r="H232" t="s">
        <v>993</v>
      </c>
      <c r="I232" t="s">
        <v>178</v>
      </c>
      <c r="J232" t="s">
        <v>176</v>
      </c>
      <c r="K232" t="s">
        <v>177</v>
      </c>
      <c r="L232" t="s">
        <v>403</v>
      </c>
      <c r="M232">
        <v>17.7</v>
      </c>
      <c r="N232">
        <v>83.3</v>
      </c>
      <c r="O232" t="s">
        <v>121</v>
      </c>
      <c r="P232" t="s">
        <v>1957</v>
      </c>
      <c r="Q232" t="s">
        <v>27</v>
      </c>
      <c r="R232" t="str">
        <f>VLOOKUP(C232,Tabelle1!B:C,2,0)</f>
        <v>Y4</v>
      </c>
    </row>
    <row r="233" spans="1:18" x14ac:dyDescent="0.3">
      <c r="A233">
        <v>232</v>
      </c>
      <c r="B233" t="s">
        <v>1959</v>
      </c>
      <c r="C233" t="s">
        <v>827</v>
      </c>
      <c r="D233" t="s">
        <v>829</v>
      </c>
      <c r="E233" t="s">
        <v>1960</v>
      </c>
      <c r="F233" t="s">
        <v>112</v>
      </c>
      <c r="G233" t="s">
        <v>120</v>
      </c>
      <c r="H233" t="s">
        <v>826</v>
      </c>
      <c r="I233" t="s">
        <v>51</v>
      </c>
      <c r="J233" t="s">
        <v>176</v>
      </c>
      <c r="K233" t="s">
        <v>225</v>
      </c>
      <c r="L233" t="s">
        <v>50</v>
      </c>
      <c r="M233">
        <v>33.5</v>
      </c>
      <c r="N233">
        <v>70.5</v>
      </c>
      <c r="O233" t="s">
        <v>26</v>
      </c>
      <c r="P233" t="s">
        <v>1959</v>
      </c>
      <c r="Q233" t="s">
        <v>27</v>
      </c>
      <c r="R233" t="str">
        <f>VLOOKUP(C233,Tabelle1!B:C,2,0)</f>
        <v>HGDP00232</v>
      </c>
    </row>
    <row r="234" spans="1:18" x14ac:dyDescent="0.3">
      <c r="A234">
        <v>233</v>
      </c>
      <c r="B234" t="s">
        <v>1961</v>
      </c>
      <c r="C234" t="s">
        <v>823</v>
      </c>
      <c r="D234" t="s">
        <v>825</v>
      </c>
      <c r="E234" t="s">
        <v>1962</v>
      </c>
      <c r="F234" t="s">
        <v>112</v>
      </c>
      <c r="G234" t="s">
        <v>32</v>
      </c>
      <c r="H234" t="s">
        <v>826</v>
      </c>
      <c r="I234" t="s">
        <v>51</v>
      </c>
      <c r="J234" t="s">
        <v>176</v>
      </c>
      <c r="K234" t="s">
        <v>225</v>
      </c>
      <c r="L234" t="s">
        <v>50</v>
      </c>
      <c r="M234">
        <v>33.5</v>
      </c>
      <c r="N234">
        <v>70.5</v>
      </c>
      <c r="O234" t="s">
        <v>26</v>
      </c>
      <c r="P234" t="s">
        <v>1961</v>
      </c>
      <c r="Q234" t="s">
        <v>27</v>
      </c>
      <c r="R234" t="str">
        <f>VLOOKUP(C234,Tabelle1!B:C,2,0)</f>
        <v>HGDP00216</v>
      </c>
    </row>
    <row r="235" spans="1:18" x14ac:dyDescent="0.3">
      <c r="A235">
        <v>234</v>
      </c>
      <c r="B235" t="s">
        <v>1963</v>
      </c>
      <c r="C235" t="s">
        <v>485</v>
      </c>
      <c r="D235" t="s">
        <v>487</v>
      </c>
      <c r="E235" t="s">
        <v>1964</v>
      </c>
      <c r="F235" t="s">
        <v>112</v>
      </c>
      <c r="G235" t="s">
        <v>32</v>
      </c>
      <c r="H235" t="s">
        <v>488</v>
      </c>
      <c r="I235" t="s">
        <v>300</v>
      </c>
      <c r="J235" t="s">
        <v>56</v>
      </c>
      <c r="K235" t="s">
        <v>111</v>
      </c>
      <c r="L235" t="s">
        <v>50</v>
      </c>
      <c r="M235">
        <v>6.5</v>
      </c>
      <c r="N235">
        <v>6</v>
      </c>
      <c r="O235" t="s">
        <v>26</v>
      </c>
      <c r="P235" t="s">
        <v>1963</v>
      </c>
      <c r="Q235" t="s">
        <v>27</v>
      </c>
      <c r="R235" t="str">
        <f>VLOOKUP(C235,Tabelle1!B:C,2,0)</f>
        <v>HG03100</v>
      </c>
    </row>
    <row r="236" spans="1:18" x14ac:dyDescent="0.3">
      <c r="A236">
        <v>235</v>
      </c>
      <c r="B236" t="s">
        <v>1965</v>
      </c>
      <c r="C236" t="s">
        <v>489</v>
      </c>
      <c r="D236" t="s">
        <v>491</v>
      </c>
      <c r="E236" t="s">
        <v>1966</v>
      </c>
      <c r="F236" t="s">
        <v>112</v>
      </c>
      <c r="G236" t="s">
        <v>120</v>
      </c>
      <c r="H236" t="s">
        <v>488</v>
      </c>
      <c r="I236" t="s">
        <v>300</v>
      </c>
      <c r="J236" t="s">
        <v>56</v>
      </c>
      <c r="K236" t="s">
        <v>111</v>
      </c>
      <c r="L236" t="s">
        <v>50</v>
      </c>
      <c r="M236">
        <v>6.5</v>
      </c>
      <c r="N236">
        <v>6</v>
      </c>
      <c r="O236" t="s">
        <v>26</v>
      </c>
      <c r="P236" t="s">
        <v>1965</v>
      </c>
      <c r="Q236" t="s">
        <v>27</v>
      </c>
      <c r="R236" t="str">
        <f>VLOOKUP(C236,Tabelle1!B:C,2,0)</f>
        <v>HG02943</v>
      </c>
    </row>
    <row r="237" spans="1:18" x14ac:dyDescent="0.3">
      <c r="A237">
        <v>236</v>
      </c>
      <c r="B237" t="s">
        <v>1967</v>
      </c>
      <c r="C237" t="s">
        <v>33</v>
      </c>
      <c r="D237" t="s">
        <v>35</v>
      </c>
      <c r="E237" t="s">
        <v>1968</v>
      </c>
      <c r="F237" t="s">
        <v>16</v>
      </c>
      <c r="G237" t="s">
        <v>120</v>
      </c>
      <c r="H237" t="s">
        <v>36</v>
      </c>
      <c r="I237" t="s">
        <v>1969</v>
      </c>
      <c r="J237" t="s">
        <v>37</v>
      </c>
      <c r="K237" t="s">
        <v>38</v>
      </c>
      <c r="L237" t="s">
        <v>1970</v>
      </c>
      <c r="M237">
        <v>35.166668000000001</v>
      </c>
      <c r="N237">
        <v>25.166665999999999</v>
      </c>
      <c r="O237" t="s">
        <v>121</v>
      </c>
      <c r="P237" t="s">
        <v>1967</v>
      </c>
      <c r="Q237" t="s">
        <v>27</v>
      </c>
      <c r="R237" t="str">
        <f>VLOOKUP(C237,Tabelle1!B:C,2,0)</f>
        <v>AV-21</v>
      </c>
    </row>
    <row r="238" spans="1:18" x14ac:dyDescent="0.3">
      <c r="A238">
        <v>237</v>
      </c>
      <c r="B238" t="s">
        <v>1971</v>
      </c>
      <c r="C238" t="s">
        <v>40</v>
      </c>
      <c r="D238" t="s">
        <v>42</v>
      </c>
      <c r="E238" t="s">
        <v>1972</v>
      </c>
      <c r="F238" t="s">
        <v>16</v>
      </c>
      <c r="G238" t="s">
        <v>32</v>
      </c>
      <c r="H238" t="s">
        <v>36</v>
      </c>
      <c r="I238" t="s">
        <v>1969</v>
      </c>
      <c r="J238" t="s">
        <v>37</v>
      </c>
      <c r="K238" t="s">
        <v>38</v>
      </c>
      <c r="L238" t="s">
        <v>1973</v>
      </c>
      <c r="M238">
        <v>35.162999999999997</v>
      </c>
      <c r="N238">
        <v>25.445</v>
      </c>
      <c r="O238" t="s">
        <v>121</v>
      </c>
      <c r="P238" t="s">
        <v>1971</v>
      </c>
      <c r="Q238" t="s">
        <v>27</v>
      </c>
      <c r="R238" t="str">
        <f>VLOOKUP(C238,Tabelle1!B:C,2,0)</f>
        <v>TZ-11</v>
      </c>
    </row>
    <row r="239" spans="1:18" x14ac:dyDescent="0.3">
      <c r="A239">
        <v>238</v>
      </c>
      <c r="B239" t="s">
        <v>1974</v>
      </c>
      <c r="C239" t="s">
        <v>252</v>
      </c>
      <c r="D239" t="s">
        <v>254</v>
      </c>
      <c r="E239" t="s">
        <v>1975</v>
      </c>
      <c r="F239" t="s">
        <v>112</v>
      </c>
      <c r="G239" t="s">
        <v>32</v>
      </c>
      <c r="H239" t="s">
        <v>255</v>
      </c>
      <c r="I239" t="s">
        <v>51</v>
      </c>
      <c r="J239" t="s">
        <v>56</v>
      </c>
      <c r="K239" t="s">
        <v>256</v>
      </c>
      <c r="L239" t="s">
        <v>50</v>
      </c>
      <c r="M239">
        <v>32</v>
      </c>
      <c r="N239">
        <v>3</v>
      </c>
      <c r="O239" t="s">
        <v>26</v>
      </c>
      <c r="P239" t="s">
        <v>1974</v>
      </c>
      <c r="Q239" t="s">
        <v>27</v>
      </c>
      <c r="R239" t="str">
        <f>VLOOKUP(C239,Tabelle1!B:C,2,0)</f>
        <v>HGDP01253</v>
      </c>
    </row>
    <row r="240" spans="1:18" x14ac:dyDescent="0.3">
      <c r="A240">
        <v>239</v>
      </c>
      <c r="B240" t="s">
        <v>1976</v>
      </c>
      <c r="C240" t="s">
        <v>257</v>
      </c>
      <c r="D240" t="s">
        <v>259</v>
      </c>
      <c r="E240" t="s">
        <v>1977</v>
      </c>
      <c r="F240" t="s">
        <v>112</v>
      </c>
      <c r="G240" t="s">
        <v>120</v>
      </c>
      <c r="H240" t="s">
        <v>255</v>
      </c>
      <c r="I240" t="s">
        <v>51</v>
      </c>
      <c r="J240" t="s">
        <v>56</v>
      </c>
      <c r="K240" t="s">
        <v>256</v>
      </c>
      <c r="L240" t="s">
        <v>50</v>
      </c>
      <c r="M240">
        <v>32</v>
      </c>
      <c r="N240">
        <v>3</v>
      </c>
      <c r="O240" t="s">
        <v>26</v>
      </c>
      <c r="P240" t="s">
        <v>1976</v>
      </c>
      <c r="Q240" t="s">
        <v>27</v>
      </c>
      <c r="R240" t="str">
        <f>VLOOKUP(C240,Tabelle1!B:C,2,0)</f>
        <v>HGDP01274</v>
      </c>
    </row>
    <row r="241" spans="1:18" x14ac:dyDescent="0.3">
      <c r="A241">
        <v>240</v>
      </c>
      <c r="B241" t="s">
        <v>1978</v>
      </c>
      <c r="C241" t="s">
        <v>196</v>
      </c>
      <c r="D241" t="s">
        <v>198</v>
      </c>
      <c r="E241" t="s">
        <v>1979</v>
      </c>
      <c r="F241" t="s">
        <v>112</v>
      </c>
      <c r="G241" t="s">
        <v>32</v>
      </c>
      <c r="H241" t="s">
        <v>199</v>
      </c>
      <c r="I241" t="s">
        <v>202</v>
      </c>
      <c r="J241" t="s">
        <v>37</v>
      </c>
      <c r="K241" t="s">
        <v>200</v>
      </c>
      <c r="L241" t="s">
        <v>201</v>
      </c>
      <c r="M241">
        <v>32.203000000000003</v>
      </c>
      <c r="N241">
        <v>35.270000000000003</v>
      </c>
      <c r="O241" t="s">
        <v>121</v>
      </c>
      <c r="P241" t="s">
        <v>1978</v>
      </c>
      <c r="Q241" t="s">
        <v>27</v>
      </c>
      <c r="R241" t="str">
        <f>VLOOKUP(C241,Tabelle1!B:C,2,0)</f>
        <v>Sam02</v>
      </c>
    </row>
    <row r="242" spans="1:18" x14ac:dyDescent="0.3">
      <c r="A242">
        <v>241</v>
      </c>
      <c r="B242" t="s">
        <v>1980</v>
      </c>
      <c r="C242" t="s">
        <v>774</v>
      </c>
      <c r="D242" t="s">
        <v>776</v>
      </c>
      <c r="E242" t="s">
        <v>1981</v>
      </c>
      <c r="F242" t="s">
        <v>112</v>
      </c>
      <c r="G242" t="s">
        <v>120</v>
      </c>
      <c r="H242" t="s">
        <v>773</v>
      </c>
      <c r="I242" t="s">
        <v>51</v>
      </c>
      <c r="J242" t="s">
        <v>48</v>
      </c>
      <c r="K242" t="s">
        <v>49</v>
      </c>
      <c r="L242" t="s">
        <v>50</v>
      </c>
      <c r="M242">
        <v>28</v>
      </c>
      <c r="N242">
        <v>109</v>
      </c>
      <c r="O242" t="s">
        <v>26</v>
      </c>
      <c r="P242" t="s">
        <v>1980</v>
      </c>
      <c r="Q242" t="s">
        <v>27</v>
      </c>
      <c r="R242" t="str">
        <f>VLOOKUP(C242,Tabelle1!B:C,2,0)</f>
        <v>HGDP01198</v>
      </c>
    </row>
    <row r="243" spans="1:18" x14ac:dyDescent="0.3">
      <c r="A243">
        <v>242</v>
      </c>
      <c r="B243" t="s">
        <v>1982</v>
      </c>
      <c r="C243" t="s">
        <v>770</v>
      </c>
      <c r="D243" t="s">
        <v>772</v>
      </c>
      <c r="E243" t="s">
        <v>1983</v>
      </c>
      <c r="F243" t="s">
        <v>112</v>
      </c>
      <c r="G243" t="s">
        <v>32</v>
      </c>
      <c r="H243" t="s">
        <v>773</v>
      </c>
      <c r="I243" t="s">
        <v>51</v>
      </c>
      <c r="J243" t="s">
        <v>48</v>
      </c>
      <c r="K243" t="s">
        <v>49</v>
      </c>
      <c r="L243" t="s">
        <v>50</v>
      </c>
      <c r="M243">
        <v>28</v>
      </c>
      <c r="N243">
        <v>109</v>
      </c>
      <c r="O243" t="s">
        <v>26</v>
      </c>
      <c r="P243" t="s">
        <v>1982</v>
      </c>
      <c r="Q243" t="s">
        <v>27</v>
      </c>
      <c r="R243" t="str">
        <f>VLOOKUP(C243,Tabelle1!B:C,2,0)</f>
        <v>HGDP01191</v>
      </c>
    </row>
    <row r="244" spans="1:18" x14ac:dyDescent="0.3">
      <c r="A244">
        <v>243</v>
      </c>
      <c r="B244" t="s">
        <v>1984</v>
      </c>
      <c r="C244" t="s">
        <v>346</v>
      </c>
      <c r="D244" t="s">
        <v>348</v>
      </c>
      <c r="E244" t="s">
        <v>1985</v>
      </c>
      <c r="F244" t="s">
        <v>112</v>
      </c>
      <c r="G244" t="s">
        <v>32</v>
      </c>
      <c r="H244" t="s">
        <v>349</v>
      </c>
      <c r="I244" t="s">
        <v>51</v>
      </c>
      <c r="J244" t="s">
        <v>56</v>
      </c>
      <c r="K244" t="s">
        <v>207</v>
      </c>
      <c r="L244" t="s">
        <v>50</v>
      </c>
      <c r="M244">
        <v>-3</v>
      </c>
      <c r="N244">
        <v>37</v>
      </c>
      <c r="O244" t="s">
        <v>26</v>
      </c>
      <c r="P244" t="s">
        <v>1984</v>
      </c>
      <c r="Q244" t="s">
        <v>27</v>
      </c>
      <c r="R244" t="str">
        <f>VLOOKUP(C244,Tabelle1!B:C,2,0)</f>
        <v>HGDP01417</v>
      </c>
    </row>
    <row r="245" spans="1:18" x14ac:dyDescent="0.3">
      <c r="A245">
        <v>244</v>
      </c>
      <c r="B245" t="s">
        <v>1986</v>
      </c>
      <c r="C245" t="s">
        <v>350</v>
      </c>
      <c r="D245" t="s">
        <v>352</v>
      </c>
      <c r="E245" t="s">
        <v>1987</v>
      </c>
      <c r="F245" t="s">
        <v>112</v>
      </c>
      <c r="G245" t="s">
        <v>120</v>
      </c>
      <c r="H245" t="s">
        <v>349</v>
      </c>
      <c r="I245" t="s">
        <v>51</v>
      </c>
      <c r="J245" t="s">
        <v>56</v>
      </c>
      <c r="K245" t="s">
        <v>207</v>
      </c>
      <c r="L245" t="s">
        <v>50</v>
      </c>
      <c r="M245">
        <v>-3</v>
      </c>
      <c r="N245">
        <v>37</v>
      </c>
      <c r="O245" t="s">
        <v>26</v>
      </c>
      <c r="P245" t="s">
        <v>1986</v>
      </c>
      <c r="Q245" t="s">
        <v>27</v>
      </c>
      <c r="R245" t="str">
        <f>VLOOKUP(C245,Tabelle1!B:C,2,0)</f>
        <v>HGDP01414</v>
      </c>
    </row>
    <row r="246" spans="1:18" x14ac:dyDescent="0.3">
      <c r="A246">
        <v>245</v>
      </c>
      <c r="B246" t="s">
        <v>1988</v>
      </c>
      <c r="C246" t="s">
        <v>295</v>
      </c>
      <c r="D246" t="s">
        <v>297</v>
      </c>
      <c r="E246" t="s">
        <v>1989</v>
      </c>
      <c r="F246" t="s">
        <v>112</v>
      </c>
      <c r="G246" t="s">
        <v>120</v>
      </c>
      <c r="H246" t="s">
        <v>298</v>
      </c>
      <c r="I246" t="s">
        <v>300</v>
      </c>
      <c r="J246" t="s">
        <v>176</v>
      </c>
      <c r="K246" t="s">
        <v>225</v>
      </c>
      <c r="L246" t="s">
        <v>299</v>
      </c>
      <c r="M246">
        <v>31.5</v>
      </c>
      <c r="N246">
        <v>74.3</v>
      </c>
      <c r="O246" t="s">
        <v>26</v>
      </c>
      <c r="P246" t="s">
        <v>1988</v>
      </c>
      <c r="Q246" t="s">
        <v>27</v>
      </c>
      <c r="R246" t="str">
        <f>VLOOKUP(C246,Tabelle1!B:C,2,0)</f>
        <v>HG02494</v>
      </c>
    </row>
    <row r="247" spans="1:18" x14ac:dyDescent="0.3">
      <c r="A247">
        <v>246</v>
      </c>
      <c r="B247" t="s">
        <v>1990</v>
      </c>
      <c r="C247" t="s">
        <v>1122</v>
      </c>
      <c r="D247" t="s">
        <v>1124</v>
      </c>
      <c r="E247" t="s">
        <v>1991</v>
      </c>
      <c r="F247" t="s">
        <v>112</v>
      </c>
      <c r="G247" t="s">
        <v>120</v>
      </c>
      <c r="H247" t="s">
        <v>298</v>
      </c>
      <c r="I247" t="s">
        <v>300</v>
      </c>
      <c r="J247" t="s">
        <v>176</v>
      </c>
      <c r="K247" t="s">
        <v>225</v>
      </c>
      <c r="L247" t="s">
        <v>299</v>
      </c>
      <c r="M247">
        <v>31.5</v>
      </c>
      <c r="N247">
        <v>74.3</v>
      </c>
      <c r="O247" t="s">
        <v>26</v>
      </c>
      <c r="P247" t="s">
        <v>1990</v>
      </c>
      <c r="Q247" t="s">
        <v>27</v>
      </c>
      <c r="R247" t="str">
        <f>VLOOKUP(C247,Tabelle1!B:C,2,0)</f>
        <v>HG02790</v>
      </c>
    </row>
    <row r="248" spans="1:18" x14ac:dyDescent="0.3">
      <c r="A248">
        <v>247</v>
      </c>
      <c r="B248" t="s">
        <v>1992</v>
      </c>
      <c r="C248" t="s">
        <v>1119</v>
      </c>
      <c r="D248" t="s">
        <v>1121</v>
      </c>
      <c r="E248" t="s">
        <v>1993</v>
      </c>
      <c r="F248" t="s">
        <v>112</v>
      </c>
      <c r="G248" t="s">
        <v>32</v>
      </c>
      <c r="H248" t="s">
        <v>298</v>
      </c>
      <c r="I248" t="s">
        <v>300</v>
      </c>
      <c r="J248" t="s">
        <v>176</v>
      </c>
      <c r="K248" t="s">
        <v>225</v>
      </c>
      <c r="L248" t="s">
        <v>299</v>
      </c>
      <c r="M248">
        <v>31.5</v>
      </c>
      <c r="N248">
        <v>74.3</v>
      </c>
      <c r="O248" t="s">
        <v>26</v>
      </c>
      <c r="P248" t="s">
        <v>1992</v>
      </c>
      <c r="Q248" t="s">
        <v>27</v>
      </c>
      <c r="R248" t="str">
        <f>VLOOKUP(C248,Tabelle1!B:C,2,0)</f>
        <v>HG02783</v>
      </c>
    </row>
    <row r="249" spans="1:18" x14ac:dyDescent="0.3">
      <c r="A249">
        <v>248</v>
      </c>
      <c r="B249" t="s">
        <v>1994</v>
      </c>
      <c r="C249" t="s">
        <v>1116</v>
      </c>
      <c r="D249" t="s">
        <v>1118</v>
      </c>
      <c r="E249" t="s">
        <v>1995</v>
      </c>
      <c r="F249" t="s">
        <v>112</v>
      </c>
      <c r="G249" t="s">
        <v>32</v>
      </c>
      <c r="H249" t="s">
        <v>298</v>
      </c>
      <c r="I249" t="s">
        <v>300</v>
      </c>
      <c r="J249" t="s">
        <v>176</v>
      </c>
      <c r="K249" t="s">
        <v>225</v>
      </c>
      <c r="L249" t="s">
        <v>299</v>
      </c>
      <c r="M249">
        <v>31.5</v>
      </c>
      <c r="N249">
        <v>74.3</v>
      </c>
      <c r="O249" t="s">
        <v>26</v>
      </c>
      <c r="P249" t="s">
        <v>1994</v>
      </c>
      <c r="Q249" t="s">
        <v>27</v>
      </c>
      <c r="R249" t="str">
        <f>VLOOKUP(C249,Tabelle1!B:C,2,0)</f>
        <v>HG02724</v>
      </c>
    </row>
    <row r="250" spans="1:18" x14ac:dyDescent="0.3">
      <c r="A250">
        <v>249</v>
      </c>
      <c r="B250" t="s">
        <v>1996</v>
      </c>
      <c r="C250" t="s">
        <v>542</v>
      </c>
      <c r="D250" t="s">
        <v>544</v>
      </c>
      <c r="E250" t="s">
        <v>1997</v>
      </c>
      <c r="F250" t="s">
        <v>112</v>
      </c>
      <c r="G250" t="s">
        <v>32</v>
      </c>
      <c r="H250" t="s">
        <v>545</v>
      </c>
      <c r="I250" t="s">
        <v>134</v>
      </c>
      <c r="J250" t="s">
        <v>37</v>
      </c>
      <c r="K250" t="s">
        <v>38</v>
      </c>
      <c r="L250" t="s">
        <v>23</v>
      </c>
      <c r="M250">
        <v>38</v>
      </c>
      <c r="N250">
        <v>23.7</v>
      </c>
      <c r="O250" t="s">
        <v>26</v>
      </c>
      <c r="P250" t="s">
        <v>1996</v>
      </c>
      <c r="Q250" t="s">
        <v>27</v>
      </c>
      <c r="R250" t="str">
        <f>VLOOKUP(C250,Tabelle1!B:C,2,0)</f>
        <v>NA17377</v>
      </c>
    </row>
    <row r="251" spans="1:18" x14ac:dyDescent="0.3">
      <c r="A251">
        <v>250</v>
      </c>
      <c r="B251" t="s">
        <v>1998</v>
      </c>
      <c r="C251" t="s">
        <v>546</v>
      </c>
      <c r="D251" t="s">
        <v>548</v>
      </c>
      <c r="E251" t="s">
        <v>1999</v>
      </c>
      <c r="F251" t="s">
        <v>112</v>
      </c>
      <c r="G251" t="s">
        <v>32</v>
      </c>
      <c r="H251" t="s">
        <v>545</v>
      </c>
      <c r="I251" t="s">
        <v>134</v>
      </c>
      <c r="J251" t="s">
        <v>37</v>
      </c>
      <c r="K251" t="s">
        <v>38</v>
      </c>
      <c r="L251" t="s">
        <v>23</v>
      </c>
      <c r="M251">
        <v>38</v>
      </c>
      <c r="N251">
        <v>23.7</v>
      </c>
      <c r="O251" t="s">
        <v>26</v>
      </c>
      <c r="P251" t="s">
        <v>1998</v>
      </c>
      <c r="Q251" t="s">
        <v>27</v>
      </c>
      <c r="R251" t="str">
        <f>VLOOKUP(C251,Tabelle1!B:C,2,0)</f>
        <v>NA17374</v>
      </c>
    </row>
    <row r="252" spans="1:18" x14ac:dyDescent="0.3">
      <c r="A252">
        <v>251</v>
      </c>
      <c r="B252" t="s">
        <v>2000</v>
      </c>
      <c r="C252" t="s">
        <v>107</v>
      </c>
      <c r="D252" t="s">
        <v>109</v>
      </c>
      <c r="E252" t="s">
        <v>2001</v>
      </c>
      <c r="F252" t="s">
        <v>16</v>
      </c>
      <c r="G252" t="s">
        <v>32</v>
      </c>
      <c r="H252" t="s">
        <v>110</v>
      </c>
      <c r="I252" t="s">
        <v>51</v>
      </c>
      <c r="J252" t="s">
        <v>56</v>
      </c>
      <c r="K252" t="s">
        <v>111</v>
      </c>
      <c r="L252" t="s">
        <v>50</v>
      </c>
      <c r="M252">
        <v>7.4</v>
      </c>
      <c r="N252">
        <v>3.9</v>
      </c>
      <c r="O252" t="s">
        <v>26</v>
      </c>
      <c r="P252" t="s">
        <v>2000</v>
      </c>
      <c r="Q252" t="s">
        <v>27</v>
      </c>
      <c r="R252" t="str">
        <f>VLOOKUP(C252,Tabelle1!B:C,2,0)</f>
        <v>HGDP00936</v>
      </c>
    </row>
    <row r="253" spans="1:18" x14ac:dyDescent="0.3">
      <c r="A253">
        <v>252</v>
      </c>
      <c r="B253" t="s">
        <v>2002</v>
      </c>
      <c r="C253" t="s">
        <v>878</v>
      </c>
      <c r="D253" t="s">
        <v>880</v>
      </c>
      <c r="E253" t="s">
        <v>2003</v>
      </c>
      <c r="F253" t="s">
        <v>112</v>
      </c>
      <c r="G253" t="s">
        <v>32</v>
      </c>
      <c r="H253" t="s">
        <v>881</v>
      </c>
      <c r="I253" t="s">
        <v>51</v>
      </c>
      <c r="J253" t="s">
        <v>176</v>
      </c>
      <c r="K253" t="s">
        <v>225</v>
      </c>
      <c r="L253" t="s">
        <v>50</v>
      </c>
      <c r="M253">
        <v>25.5</v>
      </c>
      <c r="N253">
        <v>69</v>
      </c>
      <c r="O253" t="s">
        <v>26</v>
      </c>
      <c r="P253" t="s">
        <v>2002</v>
      </c>
      <c r="Q253" t="s">
        <v>27</v>
      </c>
      <c r="R253" t="str">
        <f>VLOOKUP(C253,Tabelle1!B:C,2,0)</f>
        <v>HGDP00208</v>
      </c>
    </row>
    <row r="254" spans="1:18" x14ac:dyDescent="0.3">
      <c r="A254">
        <v>253</v>
      </c>
      <c r="B254" t="s">
        <v>2004</v>
      </c>
      <c r="C254" t="s">
        <v>882</v>
      </c>
      <c r="D254" t="s">
        <v>884</v>
      </c>
      <c r="E254" t="s">
        <v>2005</v>
      </c>
      <c r="F254" t="s">
        <v>112</v>
      </c>
      <c r="G254" t="s">
        <v>120</v>
      </c>
      <c r="H254" t="s">
        <v>881</v>
      </c>
      <c r="I254" t="s">
        <v>51</v>
      </c>
      <c r="J254" t="s">
        <v>176</v>
      </c>
      <c r="K254" t="s">
        <v>225</v>
      </c>
      <c r="L254" t="s">
        <v>50</v>
      </c>
      <c r="M254">
        <v>25.5</v>
      </c>
      <c r="N254">
        <v>69</v>
      </c>
      <c r="O254" t="s">
        <v>26</v>
      </c>
      <c r="P254" t="s">
        <v>2004</v>
      </c>
      <c r="Q254" t="s">
        <v>27</v>
      </c>
      <c r="R254" t="str">
        <f>VLOOKUP(C254,Tabelle1!B:C,2,0)</f>
        <v>HGDP00195</v>
      </c>
    </row>
    <row r="255" spans="1:18" x14ac:dyDescent="0.3">
      <c r="A255">
        <v>254</v>
      </c>
      <c r="B255" t="s">
        <v>2006</v>
      </c>
      <c r="C255" t="s">
        <v>328</v>
      </c>
      <c r="D255" t="s">
        <v>330</v>
      </c>
      <c r="E255" t="s">
        <v>2007</v>
      </c>
      <c r="F255" t="s">
        <v>112</v>
      </c>
      <c r="G255" t="s">
        <v>120</v>
      </c>
      <c r="H255" t="s">
        <v>326</v>
      </c>
      <c r="I255" t="s">
        <v>1480</v>
      </c>
      <c r="J255" t="s">
        <v>126</v>
      </c>
      <c r="K255" t="s">
        <v>127</v>
      </c>
      <c r="L255" t="s">
        <v>1748</v>
      </c>
      <c r="M255">
        <v>55.18</v>
      </c>
      <c r="N255">
        <v>166</v>
      </c>
      <c r="O255" t="s">
        <v>121</v>
      </c>
      <c r="P255" t="s">
        <v>2006</v>
      </c>
      <c r="Q255" t="s">
        <v>27</v>
      </c>
      <c r="R255" t="str">
        <f>VLOOKUP(C255,Tabelle1!B:C,2,0)</f>
        <v>Ale20</v>
      </c>
    </row>
    <row r="256" spans="1:18" x14ac:dyDescent="0.3">
      <c r="A256">
        <v>255</v>
      </c>
      <c r="B256" t="s">
        <v>2008</v>
      </c>
      <c r="C256" t="s">
        <v>323</v>
      </c>
      <c r="D256" t="s">
        <v>325</v>
      </c>
      <c r="E256" t="s">
        <v>2009</v>
      </c>
      <c r="F256" t="s">
        <v>112</v>
      </c>
      <c r="G256" t="s">
        <v>32</v>
      </c>
      <c r="H256" t="s">
        <v>326</v>
      </c>
      <c r="I256" t="s">
        <v>1480</v>
      </c>
      <c r="J256" t="s">
        <v>126</v>
      </c>
      <c r="K256" t="s">
        <v>127</v>
      </c>
      <c r="L256" t="s">
        <v>1748</v>
      </c>
      <c r="M256">
        <v>55.18</v>
      </c>
      <c r="N256">
        <v>166</v>
      </c>
      <c r="O256" t="s">
        <v>121</v>
      </c>
      <c r="P256" t="s">
        <v>2008</v>
      </c>
      <c r="Q256" t="s">
        <v>27</v>
      </c>
      <c r="R256" t="str">
        <f>VLOOKUP(C256,Tabelle1!B:C,2,0)</f>
        <v>Ale22</v>
      </c>
    </row>
    <row r="257" spans="1:18" x14ac:dyDescent="0.3">
      <c r="A257">
        <v>256</v>
      </c>
      <c r="B257" t="s">
        <v>2010</v>
      </c>
      <c r="C257" t="s">
        <v>983</v>
      </c>
      <c r="D257" t="s">
        <v>985</v>
      </c>
      <c r="E257" t="s">
        <v>2011</v>
      </c>
      <c r="F257" t="s">
        <v>112</v>
      </c>
      <c r="G257" t="s">
        <v>32</v>
      </c>
      <c r="H257" t="s">
        <v>986</v>
      </c>
      <c r="I257" t="s">
        <v>51</v>
      </c>
      <c r="J257" t="s">
        <v>48</v>
      </c>
      <c r="K257" t="s">
        <v>49</v>
      </c>
      <c r="L257" t="s">
        <v>50</v>
      </c>
      <c r="M257">
        <v>43.5</v>
      </c>
      <c r="N257">
        <v>81.5</v>
      </c>
      <c r="O257" t="s">
        <v>26</v>
      </c>
      <c r="P257" t="s">
        <v>2010</v>
      </c>
      <c r="Q257" t="s">
        <v>27</v>
      </c>
      <c r="R257" t="str">
        <f>VLOOKUP(C257,Tabelle1!B:C,2,0)</f>
        <v>HGDP01250</v>
      </c>
    </row>
    <row r="258" spans="1:18" x14ac:dyDescent="0.3">
      <c r="A258">
        <v>257</v>
      </c>
      <c r="B258" t="s">
        <v>2012</v>
      </c>
      <c r="C258" t="s">
        <v>987</v>
      </c>
      <c r="D258" t="s">
        <v>989</v>
      </c>
      <c r="E258" t="s">
        <v>2013</v>
      </c>
      <c r="F258" t="s">
        <v>112</v>
      </c>
      <c r="G258" t="s">
        <v>32</v>
      </c>
      <c r="H258" t="s">
        <v>986</v>
      </c>
      <c r="I258" t="s">
        <v>51</v>
      </c>
      <c r="J258" t="s">
        <v>48</v>
      </c>
      <c r="K258" t="s">
        <v>49</v>
      </c>
      <c r="L258" t="s">
        <v>50</v>
      </c>
      <c r="M258">
        <v>43.5</v>
      </c>
      <c r="N258">
        <v>81.5</v>
      </c>
      <c r="O258" t="s">
        <v>26</v>
      </c>
      <c r="P258" t="s">
        <v>2012</v>
      </c>
      <c r="Q258" t="s">
        <v>27</v>
      </c>
      <c r="R258" t="str">
        <f>VLOOKUP(C258,Tabelle1!B:C,2,0)</f>
        <v>HGDP01246</v>
      </c>
    </row>
    <row r="259" spans="1:18" x14ac:dyDescent="0.3">
      <c r="A259">
        <v>258</v>
      </c>
      <c r="B259" t="s">
        <v>2014</v>
      </c>
      <c r="C259" t="s">
        <v>157</v>
      </c>
      <c r="D259" t="s">
        <v>159</v>
      </c>
      <c r="E259" t="s">
        <v>2015</v>
      </c>
      <c r="F259" t="s">
        <v>112</v>
      </c>
      <c r="G259" t="s">
        <v>32</v>
      </c>
      <c r="H259" t="s">
        <v>160</v>
      </c>
      <c r="I259" t="s">
        <v>1480</v>
      </c>
      <c r="J259" t="s">
        <v>126</v>
      </c>
      <c r="K259" t="s">
        <v>127</v>
      </c>
      <c r="L259" t="s">
        <v>2016</v>
      </c>
      <c r="M259">
        <v>64.48</v>
      </c>
      <c r="N259">
        <v>172.86</v>
      </c>
      <c r="O259" t="s">
        <v>121</v>
      </c>
      <c r="P259" t="s">
        <v>2014</v>
      </c>
      <c r="Q259" t="s">
        <v>27</v>
      </c>
      <c r="R259" t="str">
        <f>VLOOKUP(C259,Tabelle1!B:C,2,0)</f>
        <v>Esk29</v>
      </c>
    </row>
    <row r="260" spans="1:18" x14ac:dyDescent="0.3">
      <c r="A260">
        <v>259</v>
      </c>
      <c r="B260" t="s">
        <v>2017</v>
      </c>
      <c r="C260" t="s">
        <v>86</v>
      </c>
      <c r="D260" t="s">
        <v>88</v>
      </c>
      <c r="E260" t="s">
        <v>2018</v>
      </c>
      <c r="F260" t="s">
        <v>16</v>
      </c>
      <c r="G260" t="s">
        <v>32</v>
      </c>
      <c r="H260" t="s">
        <v>89</v>
      </c>
      <c r="I260" t="s">
        <v>51</v>
      </c>
      <c r="J260" t="s">
        <v>56</v>
      </c>
      <c r="K260" t="s">
        <v>90</v>
      </c>
      <c r="L260" t="s">
        <v>50</v>
      </c>
      <c r="M260">
        <v>1</v>
      </c>
      <c r="N260">
        <v>29</v>
      </c>
      <c r="O260" t="s">
        <v>26</v>
      </c>
      <c r="P260" t="s">
        <v>2017</v>
      </c>
      <c r="Q260" t="s">
        <v>27</v>
      </c>
      <c r="R260" t="str">
        <f>VLOOKUP(C260,Tabelle1!B:C,2,0)</f>
        <v>HGDP00982</v>
      </c>
    </row>
    <row r="261" spans="1:18" x14ac:dyDescent="0.3">
      <c r="A261">
        <v>260</v>
      </c>
      <c r="B261" t="s">
        <v>2019</v>
      </c>
      <c r="C261" t="s">
        <v>17</v>
      </c>
      <c r="D261" t="s">
        <v>19</v>
      </c>
      <c r="E261" t="s">
        <v>2020</v>
      </c>
      <c r="F261" t="s">
        <v>16</v>
      </c>
      <c r="G261" t="s">
        <v>25</v>
      </c>
      <c r="H261" t="s">
        <v>20</v>
      </c>
      <c r="I261" t="s">
        <v>24</v>
      </c>
      <c r="J261" t="s">
        <v>21</v>
      </c>
      <c r="K261" t="s">
        <v>22</v>
      </c>
      <c r="L261" t="s">
        <v>23</v>
      </c>
      <c r="M261">
        <v>-13</v>
      </c>
      <c r="N261">
        <v>143</v>
      </c>
      <c r="O261" t="s">
        <v>26</v>
      </c>
      <c r="P261" t="s">
        <v>2019</v>
      </c>
      <c r="Q261" t="s">
        <v>27</v>
      </c>
      <c r="R261" t="str">
        <f>VLOOKUP(C261,Tabelle1!B:C,2,0)</f>
        <v>IHW9118</v>
      </c>
    </row>
    <row r="262" spans="1:18" x14ac:dyDescent="0.3">
      <c r="A262">
        <v>261</v>
      </c>
      <c r="B262" t="s">
        <v>2021</v>
      </c>
      <c r="C262" t="s">
        <v>29</v>
      </c>
      <c r="D262" t="s">
        <v>31</v>
      </c>
      <c r="E262" t="s">
        <v>2022</v>
      </c>
      <c r="F262" t="s">
        <v>16</v>
      </c>
      <c r="G262" t="s">
        <v>32</v>
      </c>
      <c r="H262" t="s">
        <v>20</v>
      </c>
      <c r="I262" t="s">
        <v>24</v>
      </c>
      <c r="J262" t="s">
        <v>21</v>
      </c>
      <c r="K262" t="s">
        <v>22</v>
      </c>
      <c r="L262" t="s">
        <v>23</v>
      </c>
      <c r="M262">
        <v>-13</v>
      </c>
      <c r="N262">
        <v>143</v>
      </c>
      <c r="O262" t="s">
        <v>26</v>
      </c>
      <c r="P262" t="s">
        <v>2021</v>
      </c>
      <c r="Q262" t="s">
        <v>27</v>
      </c>
      <c r="R262" t="str">
        <f>VLOOKUP(C262,Tabelle1!B:C,2,0)</f>
        <v>IHW9193</v>
      </c>
    </row>
    <row r="263" spans="1:18" x14ac:dyDescent="0.3">
      <c r="A263">
        <v>262</v>
      </c>
      <c r="B263" t="s">
        <v>2023</v>
      </c>
      <c r="C263" t="s">
        <v>958</v>
      </c>
      <c r="D263" t="s">
        <v>960</v>
      </c>
      <c r="E263" t="s">
        <v>2024</v>
      </c>
      <c r="F263" t="s">
        <v>112</v>
      </c>
      <c r="G263" t="s">
        <v>120</v>
      </c>
      <c r="H263" t="s">
        <v>961</v>
      </c>
      <c r="I263" t="s">
        <v>51</v>
      </c>
      <c r="J263" t="s">
        <v>37</v>
      </c>
      <c r="K263" t="s">
        <v>962</v>
      </c>
      <c r="L263" t="s">
        <v>50</v>
      </c>
      <c r="M263">
        <v>43</v>
      </c>
      <c r="N263">
        <v>11</v>
      </c>
      <c r="O263" t="s">
        <v>26</v>
      </c>
      <c r="P263" t="s">
        <v>2023</v>
      </c>
      <c r="Q263" t="s">
        <v>27</v>
      </c>
      <c r="R263" t="str">
        <f>VLOOKUP(C263,Tabelle1!B:C,2,0)</f>
        <v>HGDP01168</v>
      </c>
    </row>
    <row r="264" spans="1:18" x14ac:dyDescent="0.3">
      <c r="A264">
        <v>263</v>
      </c>
      <c r="B264" t="s">
        <v>2025</v>
      </c>
      <c r="C264" t="s">
        <v>708</v>
      </c>
      <c r="D264" t="s">
        <v>710</v>
      </c>
      <c r="E264" t="s">
        <v>2026</v>
      </c>
      <c r="F264" t="s">
        <v>112</v>
      </c>
      <c r="G264" t="s">
        <v>32</v>
      </c>
      <c r="H264" t="s">
        <v>706</v>
      </c>
      <c r="I264" t="s">
        <v>134</v>
      </c>
      <c r="J264" t="s">
        <v>56</v>
      </c>
      <c r="K264" t="s">
        <v>207</v>
      </c>
      <c r="L264" t="s">
        <v>707</v>
      </c>
      <c r="M264">
        <v>1.3</v>
      </c>
      <c r="N264">
        <v>36.799999999999997</v>
      </c>
      <c r="O264" t="s">
        <v>26</v>
      </c>
      <c r="P264" t="s">
        <v>2025</v>
      </c>
      <c r="Q264" t="s">
        <v>27</v>
      </c>
      <c r="R264" t="str">
        <f>VLOOKUP(C264,Tabelle1!B:C,2,0)</f>
        <v>NA19044</v>
      </c>
    </row>
    <row r="265" spans="1:18" x14ac:dyDescent="0.3">
      <c r="A265">
        <v>264</v>
      </c>
      <c r="B265" t="s">
        <v>2027</v>
      </c>
      <c r="C265" t="s">
        <v>688</v>
      </c>
      <c r="D265" t="s">
        <v>690</v>
      </c>
      <c r="E265" t="s">
        <v>2028</v>
      </c>
      <c r="F265" t="s">
        <v>112</v>
      </c>
      <c r="G265" t="s">
        <v>120</v>
      </c>
      <c r="H265" t="s">
        <v>691</v>
      </c>
      <c r="I265" t="s">
        <v>51</v>
      </c>
      <c r="J265" t="s">
        <v>48</v>
      </c>
      <c r="K265" t="s">
        <v>49</v>
      </c>
      <c r="L265" t="s">
        <v>50</v>
      </c>
      <c r="M265">
        <v>22</v>
      </c>
      <c r="N265">
        <v>100</v>
      </c>
      <c r="O265" t="s">
        <v>26</v>
      </c>
      <c r="P265" t="s">
        <v>2027</v>
      </c>
      <c r="Q265" t="s">
        <v>27</v>
      </c>
      <c r="R265" t="str">
        <f>VLOOKUP(C265,Tabelle1!B:C,2,0)</f>
        <v>HGDP01323</v>
      </c>
    </row>
    <row r="266" spans="1:18" x14ac:dyDescent="0.3">
      <c r="A266">
        <v>265</v>
      </c>
      <c r="B266" t="s">
        <v>2029</v>
      </c>
      <c r="C266" t="s">
        <v>692</v>
      </c>
      <c r="D266" t="s">
        <v>694</v>
      </c>
      <c r="E266" t="s">
        <v>2030</v>
      </c>
      <c r="F266" t="s">
        <v>112</v>
      </c>
      <c r="G266" t="s">
        <v>32</v>
      </c>
      <c r="H266" t="s">
        <v>691</v>
      </c>
      <c r="I266" t="s">
        <v>51</v>
      </c>
      <c r="J266" t="s">
        <v>48</v>
      </c>
      <c r="K266" t="s">
        <v>49</v>
      </c>
      <c r="L266" t="s">
        <v>50</v>
      </c>
      <c r="M266">
        <v>22</v>
      </c>
      <c r="N266">
        <v>100</v>
      </c>
      <c r="O266" t="s">
        <v>26</v>
      </c>
      <c r="P266" t="s">
        <v>2029</v>
      </c>
      <c r="Q266" t="s">
        <v>27</v>
      </c>
      <c r="R266" t="str">
        <f>VLOOKUP(C266,Tabelle1!B:C,2,0)</f>
        <v>HGDP01320</v>
      </c>
    </row>
    <row r="267" spans="1:18" x14ac:dyDescent="0.3">
      <c r="A267">
        <v>266</v>
      </c>
      <c r="B267" t="s">
        <v>2031</v>
      </c>
      <c r="C267" t="s">
        <v>716</v>
      </c>
      <c r="D267" t="s">
        <v>718</v>
      </c>
      <c r="E267" t="s">
        <v>2032</v>
      </c>
      <c r="F267" t="s">
        <v>112</v>
      </c>
      <c r="G267" t="s">
        <v>120</v>
      </c>
      <c r="H267" t="s">
        <v>714</v>
      </c>
      <c r="I267" t="s">
        <v>209</v>
      </c>
      <c r="J267" t="s">
        <v>56</v>
      </c>
      <c r="K267" t="s">
        <v>207</v>
      </c>
      <c r="L267" t="s">
        <v>715</v>
      </c>
      <c r="M267">
        <v>-0.1</v>
      </c>
      <c r="N267">
        <v>34.299999999999997</v>
      </c>
      <c r="O267" t="s">
        <v>121</v>
      </c>
      <c r="P267" t="s">
        <v>2031</v>
      </c>
      <c r="Q267" t="s">
        <v>27</v>
      </c>
      <c r="R267" t="str">
        <f>VLOOKUP(C267,Tabelle1!B:C,2,0)</f>
        <v>Ayodo_502C</v>
      </c>
    </row>
    <row r="268" spans="1:18" x14ac:dyDescent="0.3">
      <c r="A268">
        <v>267</v>
      </c>
      <c r="B268" t="s">
        <v>2033</v>
      </c>
      <c r="C268" t="s">
        <v>711</v>
      </c>
      <c r="D268" t="s">
        <v>713</v>
      </c>
      <c r="E268" t="s">
        <v>2034</v>
      </c>
      <c r="F268" t="s">
        <v>112</v>
      </c>
      <c r="G268" t="s">
        <v>32</v>
      </c>
      <c r="H268" t="s">
        <v>714</v>
      </c>
      <c r="I268" t="s">
        <v>209</v>
      </c>
      <c r="J268" t="s">
        <v>56</v>
      </c>
      <c r="K268" t="s">
        <v>207</v>
      </c>
      <c r="L268" t="s">
        <v>715</v>
      </c>
      <c r="M268">
        <v>-0.1</v>
      </c>
      <c r="N268">
        <v>34.299999999999997</v>
      </c>
      <c r="O268" t="s">
        <v>121</v>
      </c>
      <c r="P268" t="s">
        <v>2033</v>
      </c>
      <c r="Q268" t="s">
        <v>27</v>
      </c>
      <c r="R268" t="str">
        <f>VLOOKUP(C268,Tabelle1!B:C,2,0)</f>
        <v>Ayodo_430C</v>
      </c>
    </row>
    <row r="269" spans="1:18" x14ac:dyDescent="0.3">
      <c r="A269">
        <v>268</v>
      </c>
      <c r="B269" t="s">
        <v>2035</v>
      </c>
      <c r="C269" t="s">
        <v>162</v>
      </c>
      <c r="D269" t="s">
        <v>164</v>
      </c>
      <c r="E269" t="s">
        <v>2036</v>
      </c>
      <c r="F269" t="s">
        <v>112</v>
      </c>
      <c r="G269" t="s">
        <v>32</v>
      </c>
      <c r="H269" t="s">
        <v>165</v>
      </c>
      <c r="I269" t="s">
        <v>134</v>
      </c>
      <c r="J269" t="s">
        <v>21</v>
      </c>
      <c r="K269" t="s">
        <v>166</v>
      </c>
      <c r="L269" t="s">
        <v>23</v>
      </c>
      <c r="M269">
        <v>21.3</v>
      </c>
      <c r="N269">
        <v>-157.80000000000001</v>
      </c>
      <c r="O269" t="s">
        <v>26</v>
      </c>
      <c r="P269" t="s">
        <v>2035</v>
      </c>
      <c r="Q269" t="s">
        <v>27</v>
      </c>
      <c r="R269" t="str">
        <f>VLOOKUP(C269,Tabelle1!B:C,2,0)</f>
        <v>NA17385</v>
      </c>
    </row>
    <row r="270" spans="1:18" x14ac:dyDescent="0.3">
      <c r="A270">
        <v>269</v>
      </c>
      <c r="B270" t="s">
        <v>2037</v>
      </c>
      <c r="C270" t="s">
        <v>1109</v>
      </c>
      <c r="D270" t="s">
        <v>1111</v>
      </c>
      <c r="E270" t="s">
        <v>2038</v>
      </c>
      <c r="F270" t="s">
        <v>112</v>
      </c>
      <c r="G270" t="s">
        <v>32</v>
      </c>
      <c r="H270" t="s">
        <v>1107</v>
      </c>
      <c r="I270" t="s">
        <v>134</v>
      </c>
      <c r="J270" t="s">
        <v>79</v>
      </c>
      <c r="K270" t="s">
        <v>1108</v>
      </c>
      <c r="L270" t="s">
        <v>23</v>
      </c>
      <c r="M270">
        <v>-13.5</v>
      </c>
      <c r="N270">
        <v>-72</v>
      </c>
      <c r="O270" t="s">
        <v>26</v>
      </c>
      <c r="P270" t="s">
        <v>2037</v>
      </c>
      <c r="Q270" t="s">
        <v>27</v>
      </c>
      <c r="R270" t="str">
        <f>VLOOKUP(C270,Tabelle1!B:C,2,0)</f>
        <v>NA11200</v>
      </c>
    </row>
    <row r="271" spans="1:18" x14ac:dyDescent="0.3">
      <c r="A271">
        <v>270</v>
      </c>
      <c r="B271" t="s">
        <v>2039</v>
      </c>
      <c r="C271" t="s">
        <v>1112</v>
      </c>
      <c r="D271" t="s">
        <v>1114</v>
      </c>
      <c r="E271" t="s">
        <v>2040</v>
      </c>
      <c r="F271" t="s">
        <v>112</v>
      </c>
      <c r="G271" t="s">
        <v>120</v>
      </c>
      <c r="H271" t="s">
        <v>1107</v>
      </c>
      <c r="I271" t="s">
        <v>1115</v>
      </c>
      <c r="J271" t="s">
        <v>79</v>
      </c>
      <c r="K271" t="s">
        <v>1108</v>
      </c>
      <c r="L271" t="s">
        <v>50</v>
      </c>
      <c r="M271">
        <v>-13.5</v>
      </c>
      <c r="N271">
        <v>-72</v>
      </c>
      <c r="O271" t="s">
        <v>121</v>
      </c>
      <c r="P271" t="s">
        <v>2039</v>
      </c>
      <c r="Q271" t="s">
        <v>27</v>
      </c>
      <c r="R271" t="str">
        <f>VLOOKUP(C271,Tabelle1!B:C,2,0)</f>
        <v>Peru60</v>
      </c>
    </row>
    <row r="272" spans="1:18" x14ac:dyDescent="0.3">
      <c r="A272">
        <v>271</v>
      </c>
      <c r="B272" t="s">
        <v>2041</v>
      </c>
      <c r="C272" t="s">
        <v>942</v>
      </c>
      <c r="D272" t="s">
        <v>944</v>
      </c>
      <c r="E272" t="s">
        <v>2042</v>
      </c>
      <c r="F272" t="s">
        <v>112</v>
      </c>
      <c r="G272" t="s">
        <v>32</v>
      </c>
      <c r="H272" t="s">
        <v>945</v>
      </c>
      <c r="I272" t="s">
        <v>51</v>
      </c>
      <c r="J272" t="s">
        <v>48</v>
      </c>
      <c r="K272" t="s">
        <v>49</v>
      </c>
      <c r="L272" t="s">
        <v>50</v>
      </c>
      <c r="M272">
        <v>29</v>
      </c>
      <c r="N272">
        <v>109</v>
      </c>
      <c r="O272" t="s">
        <v>26</v>
      </c>
      <c r="P272" t="s">
        <v>2041</v>
      </c>
      <c r="Q272" t="s">
        <v>27</v>
      </c>
      <c r="R272" t="str">
        <f>VLOOKUP(C272,Tabelle1!B:C,2,0)</f>
        <v>HGDP01095</v>
      </c>
    </row>
    <row r="273" spans="1:18" x14ac:dyDescent="0.3">
      <c r="A273">
        <v>272</v>
      </c>
      <c r="B273" t="s">
        <v>2043</v>
      </c>
      <c r="C273" t="s">
        <v>1104</v>
      </c>
      <c r="D273" t="s">
        <v>1106</v>
      </c>
      <c r="E273" t="s">
        <v>2044</v>
      </c>
      <c r="F273" t="s">
        <v>112</v>
      </c>
      <c r="G273" t="s">
        <v>120</v>
      </c>
      <c r="H273" t="s">
        <v>1107</v>
      </c>
      <c r="I273" t="s">
        <v>134</v>
      </c>
      <c r="J273" t="s">
        <v>79</v>
      </c>
      <c r="K273" t="s">
        <v>1108</v>
      </c>
      <c r="L273" t="s">
        <v>23</v>
      </c>
      <c r="M273">
        <v>-13.5</v>
      </c>
      <c r="N273">
        <v>-72</v>
      </c>
      <c r="O273" t="s">
        <v>26</v>
      </c>
      <c r="P273" t="s">
        <v>2043</v>
      </c>
      <c r="Q273" t="s">
        <v>27</v>
      </c>
      <c r="R273" t="str">
        <f>VLOOKUP(C273,Tabelle1!B:C,2,0)</f>
        <v>NA11201</v>
      </c>
    </row>
    <row r="274" spans="1:18" x14ac:dyDescent="0.3">
      <c r="A274">
        <v>273</v>
      </c>
      <c r="B274" t="s">
        <v>2045</v>
      </c>
      <c r="C274" t="s">
        <v>267</v>
      </c>
      <c r="D274" t="s">
        <v>269</v>
      </c>
      <c r="E274" t="s">
        <v>2046</v>
      </c>
      <c r="F274" t="s">
        <v>112</v>
      </c>
      <c r="G274" t="s">
        <v>32</v>
      </c>
      <c r="H274" t="s">
        <v>270</v>
      </c>
      <c r="I274" t="s">
        <v>51</v>
      </c>
      <c r="J274" t="s">
        <v>37</v>
      </c>
      <c r="K274" t="s">
        <v>127</v>
      </c>
      <c r="L274" t="s">
        <v>271</v>
      </c>
      <c r="M274">
        <v>61</v>
      </c>
      <c r="N274">
        <v>40</v>
      </c>
      <c r="O274" t="s">
        <v>26</v>
      </c>
      <c r="P274" t="s">
        <v>2045</v>
      </c>
      <c r="Q274" t="s">
        <v>27</v>
      </c>
      <c r="R274" t="str">
        <f>VLOOKUP(C274,Tabelle1!B:C,2,0)</f>
        <v>HGDP00887</v>
      </c>
    </row>
    <row r="275" spans="1:18" x14ac:dyDescent="0.3">
      <c r="A275">
        <v>274</v>
      </c>
      <c r="B275" t="s">
        <v>2047</v>
      </c>
      <c r="C275" t="s">
        <v>633</v>
      </c>
      <c r="D275" t="s">
        <v>635</v>
      </c>
      <c r="E275" t="s">
        <v>2048</v>
      </c>
      <c r="F275" t="s">
        <v>112</v>
      </c>
      <c r="G275" t="s">
        <v>32</v>
      </c>
      <c r="H275" t="s">
        <v>78</v>
      </c>
      <c r="I275" t="s">
        <v>51</v>
      </c>
      <c r="J275" t="s">
        <v>79</v>
      </c>
      <c r="K275" t="s">
        <v>80</v>
      </c>
      <c r="L275" t="s">
        <v>50</v>
      </c>
      <c r="M275">
        <v>-10</v>
      </c>
      <c r="N275">
        <v>-63</v>
      </c>
      <c r="O275" t="s">
        <v>26</v>
      </c>
      <c r="P275" t="s">
        <v>2047</v>
      </c>
      <c r="Q275" t="s">
        <v>27</v>
      </c>
      <c r="R275" t="str">
        <f>VLOOKUP(C275,Tabelle1!B:C,2,0)</f>
        <v>HGDP01012</v>
      </c>
    </row>
    <row r="276" spans="1:18" x14ac:dyDescent="0.3">
      <c r="A276">
        <v>275</v>
      </c>
      <c r="B276" t="s">
        <v>2049</v>
      </c>
      <c r="C276" t="s">
        <v>636</v>
      </c>
      <c r="D276" t="s">
        <v>638</v>
      </c>
      <c r="E276" t="s">
        <v>2050</v>
      </c>
      <c r="F276" t="s">
        <v>112</v>
      </c>
      <c r="G276" t="s">
        <v>120</v>
      </c>
      <c r="H276" t="s">
        <v>78</v>
      </c>
      <c r="I276" t="s">
        <v>51</v>
      </c>
      <c r="J276" t="s">
        <v>79</v>
      </c>
      <c r="K276" t="s">
        <v>80</v>
      </c>
      <c r="L276" t="s">
        <v>50</v>
      </c>
      <c r="M276">
        <v>-10</v>
      </c>
      <c r="N276">
        <v>-63</v>
      </c>
      <c r="O276" t="s">
        <v>26</v>
      </c>
      <c r="P276" t="s">
        <v>2049</v>
      </c>
      <c r="Q276" t="s">
        <v>27</v>
      </c>
      <c r="R276" t="str">
        <f>VLOOKUP(C276,Tabelle1!B:C,2,0)</f>
        <v>HGDP01018</v>
      </c>
    </row>
    <row r="277" spans="1:18" x14ac:dyDescent="0.3">
      <c r="A277">
        <v>276</v>
      </c>
      <c r="B277" t="s">
        <v>2051</v>
      </c>
      <c r="C277" t="s">
        <v>272</v>
      </c>
      <c r="D277" t="s">
        <v>274</v>
      </c>
      <c r="E277" t="s">
        <v>2052</v>
      </c>
      <c r="F277" t="s">
        <v>112</v>
      </c>
      <c r="G277" t="s">
        <v>120</v>
      </c>
      <c r="H277" t="s">
        <v>270</v>
      </c>
      <c r="I277" t="s">
        <v>51</v>
      </c>
      <c r="J277" t="s">
        <v>37</v>
      </c>
      <c r="K277" t="s">
        <v>127</v>
      </c>
      <c r="L277" t="s">
        <v>271</v>
      </c>
      <c r="M277">
        <v>61</v>
      </c>
      <c r="N277">
        <v>40</v>
      </c>
      <c r="O277" t="s">
        <v>26</v>
      </c>
      <c r="P277" t="s">
        <v>2051</v>
      </c>
      <c r="Q277" t="s">
        <v>27</v>
      </c>
      <c r="R277" t="str">
        <f>VLOOKUP(C277,Tabelle1!B:C,2,0)</f>
        <v>HGDP00903</v>
      </c>
    </row>
    <row r="278" spans="1:18" x14ac:dyDescent="0.3">
      <c r="A278">
        <v>277</v>
      </c>
      <c r="B278" t="s">
        <v>2053</v>
      </c>
      <c r="C278" t="s">
        <v>431</v>
      </c>
      <c r="D278" t="s">
        <v>433</v>
      </c>
      <c r="E278" t="s">
        <v>2054</v>
      </c>
      <c r="F278" t="s">
        <v>112</v>
      </c>
      <c r="G278" t="s">
        <v>32</v>
      </c>
      <c r="H278" t="s">
        <v>427</v>
      </c>
      <c r="I278" t="s">
        <v>430</v>
      </c>
      <c r="J278" t="s">
        <v>48</v>
      </c>
      <c r="K278" t="s">
        <v>428</v>
      </c>
      <c r="L278" t="s">
        <v>434</v>
      </c>
      <c r="M278">
        <v>17</v>
      </c>
      <c r="N278">
        <v>96.7</v>
      </c>
      <c r="O278" t="s">
        <v>60</v>
      </c>
      <c r="P278" t="s">
        <v>2053</v>
      </c>
      <c r="Q278" t="s">
        <v>27</v>
      </c>
      <c r="R278" t="str">
        <f>VLOOKUP(C278,Tabelle1!B:C,2,0)</f>
        <v>Bu5</v>
      </c>
    </row>
    <row r="279" spans="1:18" x14ac:dyDescent="0.3">
      <c r="A279">
        <v>278</v>
      </c>
      <c r="B279" t="s">
        <v>2055</v>
      </c>
      <c r="C279" t="s">
        <v>424</v>
      </c>
      <c r="D279" t="s">
        <v>426</v>
      </c>
      <c r="E279" t="s">
        <v>2056</v>
      </c>
      <c r="F279" t="s">
        <v>112</v>
      </c>
      <c r="G279" t="s">
        <v>32</v>
      </c>
      <c r="H279" t="s">
        <v>427</v>
      </c>
      <c r="I279" t="s">
        <v>430</v>
      </c>
      <c r="J279" t="s">
        <v>48</v>
      </c>
      <c r="K279" t="s">
        <v>428</v>
      </c>
      <c r="L279" t="s">
        <v>429</v>
      </c>
      <c r="M279">
        <v>17</v>
      </c>
      <c r="N279">
        <v>96.7</v>
      </c>
      <c r="O279" t="s">
        <v>60</v>
      </c>
      <c r="P279" t="s">
        <v>2055</v>
      </c>
      <c r="Q279" t="s">
        <v>27</v>
      </c>
      <c r="R279" t="str">
        <f>VLOOKUP(C279,Tabelle1!B:C,2,0)</f>
        <v>Bu16</v>
      </c>
    </row>
    <row r="280" spans="1:18" x14ac:dyDescent="0.3">
      <c r="A280">
        <v>279</v>
      </c>
      <c r="B280" t="s">
        <v>2057</v>
      </c>
      <c r="C280" t="s">
        <v>1085</v>
      </c>
      <c r="D280" t="s">
        <v>1087</v>
      </c>
      <c r="E280" t="s">
        <v>2058</v>
      </c>
      <c r="F280" t="s">
        <v>112</v>
      </c>
      <c r="G280" t="s">
        <v>120</v>
      </c>
      <c r="H280" t="s">
        <v>89</v>
      </c>
      <c r="I280" t="s">
        <v>51</v>
      </c>
      <c r="J280" t="s">
        <v>56</v>
      </c>
      <c r="K280" t="s">
        <v>90</v>
      </c>
      <c r="L280" t="s">
        <v>50</v>
      </c>
      <c r="M280">
        <v>1</v>
      </c>
      <c r="N280">
        <v>29</v>
      </c>
      <c r="O280" t="s">
        <v>26</v>
      </c>
      <c r="P280" t="s">
        <v>2057</v>
      </c>
      <c r="Q280" t="s">
        <v>27</v>
      </c>
      <c r="R280" t="str">
        <f>VLOOKUP(C280,Tabelle1!B:C,2,0)</f>
        <v>HGDP00476</v>
      </c>
    </row>
    <row r="281" spans="1:18" x14ac:dyDescent="0.3">
      <c r="A281">
        <v>280</v>
      </c>
      <c r="B281" t="s">
        <v>2059</v>
      </c>
      <c r="C281" t="s">
        <v>1009</v>
      </c>
      <c r="D281" t="s">
        <v>1011</v>
      </c>
      <c r="E281" t="s">
        <v>2060</v>
      </c>
      <c r="F281" t="s">
        <v>112</v>
      </c>
      <c r="G281" t="s">
        <v>32</v>
      </c>
      <c r="H281" t="s">
        <v>1007</v>
      </c>
      <c r="I281" t="s">
        <v>608</v>
      </c>
      <c r="J281" t="s">
        <v>37</v>
      </c>
      <c r="K281" t="s">
        <v>1008</v>
      </c>
      <c r="L281" t="s">
        <v>607</v>
      </c>
      <c r="M281">
        <v>15.4</v>
      </c>
      <c r="N281">
        <v>44.2</v>
      </c>
      <c r="O281" t="s">
        <v>26</v>
      </c>
      <c r="P281" t="s">
        <v>2059</v>
      </c>
      <c r="Q281" t="s">
        <v>27</v>
      </c>
      <c r="R281" t="str">
        <f>VLOOKUP(C281,Tabelle1!B:C,2,0)</f>
        <v>YemeniteJew5433</v>
      </c>
    </row>
    <row r="282" spans="1:18" x14ac:dyDescent="0.3">
      <c r="R282" t="e">
        <f>VLOOKUP(C282,Tabelle1!B:C,2,0)</f>
        <v>#N/A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Medizinische Universitaet Innsbruck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Weissensteiner Hansi</dc:creator>
  <cp:lastModifiedBy>Weissensteiner Hansi</cp:lastModifiedBy>
  <dcterms:created xsi:type="dcterms:W3CDTF">2025-11-07T08:42:17Z</dcterms:created>
  <dcterms:modified xsi:type="dcterms:W3CDTF">2025-11-07T10:05:39Z</dcterms:modified>
</cp:coreProperties>
</file>